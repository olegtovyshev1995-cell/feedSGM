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ид (легковые)" sheetId="1" r:id="rId5"/>
    <sheet state="visible" name="Инструкция" sheetId="2" r:id="rId6"/>
    <sheet state="visible" name="XML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Ваш уникальный идентификатор объявления. Используется для обновления, если не указан VIN. Любая строка/число.</t>
      </text>
    </comment>
    <comment authorId="0" ref="B2">
      <text>
        <t xml:space="preserve">Марка авто латиницей, как в каталоге Авто.ру. Пример: Hyundai, Nissan, Kia, BMW.</t>
      </text>
    </comment>
    <comment authorId="0" ref="C2">
      <text>
        <t xml:space="preserve">Модель (+ поколение/рестайлинг при необходимости), как в каталоге. Пример: Sonata; 'Juke, I Рестайлинг'.</t>
      </text>
    </comment>
    <comment authorId="0" ref="D2">
      <text>
        <t xml:space="preserve">Модификация: объём, коробка, мощность — точно как в каталоге. Пример: 2.0 AT (150 л.с.).</t>
      </text>
    </comment>
    <comment authorId="0" ref="E2">
      <text>
        <t xml:space="preserve">Тип кузова: Седан, Хэтчбек 5 дв., Внедорожник 5 дв., Универсал, Купе, Лифтбек и т.д.</t>
      </text>
    </comment>
    <comment authorId="0" ref="F2">
      <text>
        <t xml:space="preserve">Год выпуска, 4 цифры.</t>
      </text>
    </comment>
    <comment authorId="0" ref="G2">
      <text>
        <t xml:space="preserve">Цвет кузова словом: белый, чёрный, серый, серебристый, синий, красный и т.д.</t>
      </text>
    </comment>
    <comment authorId="0" ref="H2">
      <text>
        <t xml:space="preserve">Цена, только число без пробелов и валюты.</t>
      </text>
    </comment>
    <comment authorId="0" ref="I2">
      <text>
        <t xml:space="preserve">Валюта цены. Обычно RUR.</t>
      </text>
    </comment>
    <comment authorId="0" ref="J2">
      <text>
        <t xml:space="preserve">Пробег в км (только число). *Обязателен для авто с пробегом; для новых — 0 или пусто.</t>
      </text>
    </comment>
    <comment authorId="0" ref="K2">
      <text>
        <t xml:space="preserve">VIN (17 симв.). Если указан — используется как ключ обновления объявления вместо unique_id.</t>
      </text>
    </comment>
    <comment authorId="0" ref="L2">
      <text>
        <t xml:space="preserve">Наличие: 'в наличии' или 'на заказ'.</t>
      </text>
    </comment>
    <comment authorId="0" ref="M2">
      <text>
        <t xml:space="preserve">Таможня: 'растаможен' или 'не растаможен'.</t>
      </text>
    </comment>
    <comment authorId="0" ref="N2">
      <text>
        <t xml:space="preserve">Состояние: новый / отличное / хорошее / среднее / битый.</t>
      </text>
    </comment>
    <comment authorId="0" ref="O2">
      <text>
        <t xml:space="preserve">Кол-во владельцев по ПТС: 'Не было владельцев' / один / два / 'три или более'.</t>
      </text>
    </comment>
    <comment authorId="0" ref="P2">
      <text>
        <t xml:space="preserve">ПТС: 'оригинал' или 'дубликат'.</t>
      </text>
    </comment>
    <comment authorId="0" ref="Q2">
      <text>
        <t xml:space="preserve">Руль: 'Левый' или 'Правый'.</t>
      </text>
    </comment>
    <comment authorId="0" ref="R2">
      <text>
        <t xml:space="preserve">Тип двигателя: бензин / дизель / гибрид / электро / газ.</t>
      </text>
    </comment>
    <comment authorId="0" ref="S2">
      <text>
        <t xml:space="preserve">Привод: передний / задний / полный.</t>
      </text>
    </comment>
    <comment authorId="0" ref="T2">
      <text>
        <t xml:space="preserve">Торг: 'возможен' / 'не возможен'.</t>
      </text>
    </comment>
    <comment authorId="0" ref="U2">
      <text>
        <t xml:space="preserve">Обмен: 'интересует' / 'Не интересует'.</t>
      </text>
    </comment>
    <comment authorId="0" ref="V2">
      <text>
        <t xml:space="preserve">Максимальная скидка, число (для новых авто).</t>
      </text>
    </comment>
    <comment authorId="0" ref="W2">
      <text>
        <t xml:space="preserve">Текстовое описание объявления. Без спецсимволов &lt; &gt; &amp; (экранируются автоматически).</t>
      </text>
    </comment>
    <comment authorId="0" ref="X2">
      <text>
        <t xml:space="preserve">Ссылка на страницу авто на вашем сайте.</t>
      </text>
    </comment>
    <comment authorId="0" ref="Y2">
      <text>
        <t xml:space="preserve">Ссылки на фото. Несколько — разделяйте символом | (вертикальная черта). Прямые http-ссылки на .jpg.</t>
      </text>
    </comment>
  </commentList>
</comments>
</file>

<file path=xl/sharedStrings.xml><?xml version="1.0" encoding="utf-8"?>
<sst xmlns="http://schemas.openxmlformats.org/spreadsheetml/2006/main" count="123" uniqueCount="95">
  <si>
    <t>Шаблон товарного фида Авто.ру — Легковые автомобили</t>
  </si>
  <si>
    <t>Желательно</t>
  </si>
  <si>
    <t>Готовый XML появится в ячейке A3 после заполнения листа «Фид». Скопируйте A3 целиком и сохраните как .xml (UTF-8).</t>
  </si>
  <si>
    <t>Обязательно</t>
  </si>
  <si>
    <t>Обязательно*</t>
  </si>
  <si>
    <t>Рекомендуется</t>
  </si>
  <si>
    <t>Опционально</t>
  </si>
  <si>
    <t>КАК ЗАПОЛНЯТЬ</t>
  </si>
  <si>
    <t>unique_id</t>
  </si>
  <si>
    <t>1. Откройте лист «Фид (легковые)».</t>
  </si>
  <si>
    <t>2. Строка 3 (зелёная) — это ПРИМЕР. Не удаляйте, но и не загружайте её — она для образца.</t>
  </si>
  <si>
    <t>mark_id</t>
  </si>
  <si>
    <t>3. Заполняйте данные с 4-й строки в жёлтых ячейках: одна строка = один автомобиль.</t>
  </si>
  <si>
    <t>folder_id</t>
  </si>
  <si>
    <t>4. Наведите курсор на заголовок столбца (строка 2) — во всплывающем комментарии есть пояснение.</t>
  </si>
  <si>
    <t>modification_id</t>
  </si>
  <si>
    <t>body_type</t>
  </si>
  <si>
    <t>ЦВЕТА ШАПКИ</t>
  </si>
  <si>
    <t>year</t>
  </si>
  <si>
    <t>Красная — поле ОБЯЗАТЕЛЬНО (без него объявление не разместится).</t>
  </si>
  <si>
    <t>color</t>
  </si>
  <si>
    <t>Зелёная — поле необязательно / рекомендуется (улучшает объявление и ранжирование).</t>
  </si>
  <si>
    <t>price</t>
  </si>
  <si>
    <t>Жёлтые ячейки — сюда вписывать значения.</t>
  </si>
  <si>
    <t>currency</t>
  </si>
  <si>
    <t>ВАЖНЫЕ ПРАВИЛА (из справки Авто.ру)</t>
  </si>
  <si>
    <t>run</t>
  </si>
  <si>
    <t>• Формат итогового файла — XML, кодировка UTF-8. Эта таблица — удобный ввод; XML собирается на листе «XML».</t>
  </si>
  <si>
    <t>vin</t>
  </si>
  <si>
    <t>• mark_id / folder_id / modification_id / body_type / color пишутся строго как в каталоге Авто.ру.</t>
  </si>
  <si>
    <t>• Ключ обновления объявления: mark + model + tech_param + year + color + (VIN или unique_id).</t>
  </si>
  <si>
    <t>availability</t>
  </si>
  <si>
    <t xml:space="preserve">  Если хотя бы одно из этих полей изменится — создастся НОВОЕ объявление, а не обновится старое.</t>
  </si>
  <si>
    <t>• Несколько фото в столбце images разделяйте символом | (вертикальная черта).</t>
  </si>
  <si>
    <t>• Цена (price) и пробег (run) — только числа, без пробелов, валюты и запятых.</t>
  </si>
  <si>
    <t>• run обязателен для авто с пробегом. Для новых укажите 0 или оставьте пустым.</t>
  </si>
  <si>
    <t>custom</t>
  </si>
  <si>
    <t>• Символы &lt; &gt; &amp; в описании кодируются автоматически при сборке XML.</t>
  </si>
  <si>
    <t>КАК ПОЛУЧИТЬ XML</t>
  </si>
  <si>
    <t>Вариант А. Перейдите на лист «XML» — там уже собран готовый фид из строк вашей таблицы.</t>
  </si>
  <si>
    <t>state</t>
  </si>
  <si>
    <t xml:space="preserve">  Скопируйте всё содержимое ячейки A1 и сохраните в файл с расширением .xml (кодировка UTF-8).</t>
  </si>
  <si>
    <t>Вариант Б. Пришлите мне заполненный файл — я верну готовый price_list_cars.xml.</t>
  </si>
  <si>
    <t>ЗАГРУЗКА НА АВТО.РУ</t>
  </si>
  <si>
    <t>Личный кабинет cabinet.auto.ru → раздел «Фиды» → выбрать категорию → тип загрузки</t>
  </si>
  <si>
    <t>«Ручная» (прикрепить XML-файл) или «Автоматическая» (указать URL фида на вашем сервере).</t>
  </si>
  <si>
    <t>owners_number</t>
  </si>
  <si>
    <t>pts</t>
  </si>
  <si>
    <t>Фрагменты (служебные, столбец можно скрыть):</t>
  </si>
  <si>
    <t>wheel</t>
  </si>
  <si>
    <t>engine_type</t>
  </si>
  <si>
    <t>drive</t>
  </si>
  <si>
    <t>haggle</t>
  </si>
  <si>
    <t>exchange</t>
  </si>
  <si>
    <t>max_discount</t>
  </si>
  <si>
    <t>description</t>
  </si>
  <si>
    <t>url</t>
  </si>
  <si>
    <t>images</t>
  </si>
  <si>
    <t>AVTO-0001</t>
  </si>
  <si>
    <t>Hyundai</t>
  </si>
  <si>
    <t>Sonata</t>
  </si>
  <si>
    <t>2.0 AT (150 л.с.)</t>
  </si>
  <si>
    <t>Седан</t>
  </si>
  <si>
    <t>2022</t>
  </si>
  <si>
    <t>серый</t>
  </si>
  <si>
    <t>2575000</t>
  </si>
  <si>
    <t>RUR</t>
  </si>
  <si>
    <t>45000</t>
  </si>
  <si>
    <t>XWBCA41ZXDK259205</t>
  </si>
  <si>
    <t>в наличии</t>
  </si>
  <si>
    <t>растаможен</t>
  </si>
  <si>
    <t>отличное</t>
  </si>
  <si>
    <t>один</t>
  </si>
  <si>
    <t>оригинал</t>
  </si>
  <si>
    <t>Левый</t>
  </si>
  <si>
    <t>бензин</t>
  </si>
  <si>
    <t>передний</t>
  </si>
  <si>
    <t>возможен</t>
  </si>
  <si>
    <t>Не интересует</t>
  </si>
  <si>
    <t>90000</t>
  </si>
  <si>
    <t>Один владелец, всё обслуживание у дилера.</t>
  </si>
  <si>
    <t>http://www.site.ru/car/1</t>
  </si>
  <si>
    <t>http://site.ru/1.jpg|http://site.ru/2.jpg</t>
  </si>
  <si>
    <t>SGM-RAPTOR-0001</t>
  </si>
  <si>
    <t>Ford</t>
  </si>
  <si>
    <t>Ranger Raptor</t>
  </si>
  <si>
    <t>2.0d AT (210 л.с.) 4WD</t>
  </si>
  <si>
    <t>Пикап Double Cab</t>
  </si>
  <si>
    <t>MPBAMFE60SX697372</t>
  </si>
  <si>
    <t>новый</t>
  </si>
  <si>
    <t>Не было владельцев</t>
  </si>
  <si>
    <t>дизель</t>
  </si>
  <si>
    <t>полный</t>
  </si>
  <si>
    <t>🏁 Ford Ranger Raptor 2.0 4×4 · 2026
Новый, 0 км. В наличии в Самаре.
Доставка по всей России.
━━━━━━━━━━━━━━
⚙️ ФАКТЫ
Дизель 2.0 л, битурбо
Автомат, 10 передач
Полный привод 4×4
Terrain Management — 7 режимов движения
Шины 285/70 R17, легкосплавные диски
Пикап, двойная кабина
4 двери · 5 мест · левый руль
5381×2028×1922 мм · 2330 кг
Салон в коже · сборка Таиланд
📱 В салоне:
Экран 12″, приборка 12,4″
SYNC 4A, беспроводные CarPlay и Android Auto
Сиденья Raptor, электрорегулировка 10 направлений
Двухзонный климат с обдувом 2-го ряда
Адаптивный круиз Stop &amp; Go
Беспроводная зарядка, розетки 12V и 230V, USB в двух рядах
🛡️ Безопасность:
7 подушек, ISOFIX
Автоторможение с распознаванием пешеходов
Ассистент экстренного манёвра
Контроль слепых зон
Камеры 360°, парктроники, автопилот парковки
ABS, ESP, HDC, TPMS
✨ Снаружи:
Матричные LED-фары с адаптивным дальним
C-образные ходовые огни, противотуманки
Арки Raptor, защита днища
Bedliner с розетками 12V и 230V
Буксировочные крюки спереди и сзади
🎨 Цвета:
белый · синий · серый · оранжевый · чёрный
━━━━━━━━━━━━━━
🚀 ЧТО ЭТО ДАЁТ
Дизель-битурбо и полный привод
везут по бездорожью и держат
трассу под грузом.
Автомат на 10 передач бережёт
топливо и мягко переключается.
7 режимов движения сами
настраивают машину под покрытие —
песок, грязь, снег.
Двойная кабина увозит пятерых,
кузов остаётся под работу.
━━━━━━━━━━━━━━
📋 УСЛОВИЯ
Продавец — SGM Auto Group
Гарантия 1 год
Цена 8 269 523,81 ₽ с учётом НДС 22%
Полный пакет документов для юрлиц
В наличии · отгрузка по всей России
━━━━━━━━━━━━━━
📞 Позвоните.
Назовём свободные цвета Raptor
на складе в Самаре и рассчитаем
доставку в ваш город.</t>
  </si>
  <si>
    <t>https://site.ru/raptor/1.jpg|https://site.ru/raptor/2.jpg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</si>
</sst>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4E78"/>
      <name val="Arial"/>
    </font>
    <font>
      <b/>
      <sz val="10.0"/>
      <color rgb="FFFFFFFF"/>
      <name val="Arial"/>
    </font>
    <font>
      <i/>
      <sz val="9.0"/>
      <color rgb="FF808080"/>
      <name val="Arial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Consolas"/>
    </font>
    <font>
      <sz val="8.0"/>
      <color theme="1"/>
      <name val="Consolas"/>
    </font>
  </fonts>
  <fills count="8">
    <fill>
      <patternFill patternType="none"/>
    </fill>
    <fill>
      <patternFill patternType="lightGray"/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  <fill>
      <patternFill patternType="solid">
        <fgColor rgb="FFDDEBF7"/>
        <bgColor rgb="FFDDEBF7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2" fillId="4" fontId="5" numFmtId="0" xfId="0" applyAlignment="1" applyBorder="1" applyFill="1" applyFont="1">
      <alignment horizontal="left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bottom" wrapText="0"/>
    </xf>
    <xf borderId="1" fillId="6" fontId="3" numFmtId="0" xfId="0" applyAlignment="1" applyBorder="1" applyFill="1" applyFont="1">
      <alignment horizontal="left" shrinkToFit="0" vertical="center" wrapText="1"/>
    </xf>
    <xf borderId="1" fillId="7" fontId="4" numFmtId="0" xfId="0" applyAlignment="1" applyBorder="1" applyFill="1" applyFont="1">
      <alignment horizontal="left" readingOrder="0" shrinkToFit="0" vertical="center" wrapText="1"/>
    </xf>
    <xf borderId="1" fillId="7" fontId="4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3" width="16.0"/>
    <col customWidth="1" min="4" max="4" width="34.0"/>
    <col customWidth="1" min="5" max="22" width="16.0"/>
    <col customWidth="1" min="23" max="23" width="34.0"/>
    <col customWidth="1" min="24" max="24" width="16.0"/>
    <col customWidth="1" min="25" max="25" width="34.0"/>
    <col customWidth="1" min="26" max="26" width="8.71"/>
  </cols>
  <sheetData>
    <row r="1">
      <c r="A1" s="2" t="s">
        <v>1</v>
      </c>
      <c r="B1" s="4" t="s">
        <v>3</v>
      </c>
      <c r="C1" s="4" t="s">
        <v>3</v>
      </c>
      <c r="D1" s="4" t="s">
        <v>3</v>
      </c>
      <c r="E1" s="4" t="s">
        <v>3</v>
      </c>
      <c r="F1" s="4" t="s">
        <v>3</v>
      </c>
      <c r="G1" s="4" t="s">
        <v>3</v>
      </c>
      <c r="H1" s="4" t="s">
        <v>3</v>
      </c>
      <c r="I1" s="4" t="s">
        <v>3</v>
      </c>
      <c r="J1" s="4" t="s">
        <v>4</v>
      </c>
      <c r="K1" s="2" t="s">
        <v>1</v>
      </c>
      <c r="L1" s="4" t="s">
        <v>3</v>
      </c>
      <c r="M1" s="4" t="s">
        <v>3</v>
      </c>
      <c r="N1" s="2" t="s">
        <v>5</v>
      </c>
      <c r="O1" s="2" t="s">
        <v>5</v>
      </c>
      <c r="P1" s="2" t="s">
        <v>5</v>
      </c>
      <c r="Q1" s="2" t="s">
        <v>5</v>
      </c>
      <c r="R1" s="2" t="s">
        <v>5</v>
      </c>
      <c r="S1" s="2" t="s">
        <v>5</v>
      </c>
      <c r="T1" s="2" t="s">
        <v>6</v>
      </c>
      <c r="U1" s="2" t="s">
        <v>6</v>
      </c>
      <c r="V1" s="2" t="s">
        <v>6</v>
      </c>
      <c r="W1" s="2" t="s">
        <v>5</v>
      </c>
      <c r="X1" s="2" t="s">
        <v>6</v>
      </c>
      <c r="Y1" s="4" t="s">
        <v>3</v>
      </c>
    </row>
    <row r="2" ht="25.5" customHeight="1">
      <c r="A2" s="7" t="s">
        <v>8</v>
      </c>
      <c r="B2" s="7" t="s">
        <v>11</v>
      </c>
      <c r="C2" s="7" t="s">
        <v>13</v>
      </c>
      <c r="D2" s="7" t="s">
        <v>15</v>
      </c>
      <c r="E2" s="7" t="s">
        <v>16</v>
      </c>
      <c r="F2" s="7" t="s">
        <v>18</v>
      </c>
      <c r="G2" s="7" t="s">
        <v>20</v>
      </c>
      <c r="H2" s="7" t="s">
        <v>22</v>
      </c>
      <c r="I2" s="7" t="s">
        <v>24</v>
      </c>
      <c r="J2" s="7" t="s">
        <v>26</v>
      </c>
      <c r="K2" s="7" t="s">
        <v>28</v>
      </c>
      <c r="L2" s="7" t="s">
        <v>31</v>
      </c>
      <c r="M2" s="7" t="s">
        <v>36</v>
      </c>
      <c r="N2" s="7" t="s">
        <v>40</v>
      </c>
      <c r="O2" s="7" t="s">
        <v>46</v>
      </c>
      <c r="P2" s="7" t="s">
        <v>47</v>
      </c>
      <c r="Q2" s="7" t="s">
        <v>49</v>
      </c>
      <c r="R2" s="7" t="s">
        <v>50</v>
      </c>
      <c r="S2" s="7" t="s">
        <v>51</v>
      </c>
      <c r="T2" s="7" t="s">
        <v>52</v>
      </c>
      <c r="U2" s="7" t="s">
        <v>53</v>
      </c>
      <c r="V2" s="7" t="s">
        <v>54</v>
      </c>
      <c r="W2" s="7" t="s">
        <v>55</v>
      </c>
      <c r="X2" s="7" t="s">
        <v>56</v>
      </c>
      <c r="Y2" s="7" t="s">
        <v>57</v>
      </c>
    </row>
    <row r="3" ht="30.0" customHeight="1">
      <c r="A3" s="10" t="s">
        <v>58</v>
      </c>
      <c r="B3" s="10" t="s">
        <v>59</v>
      </c>
      <c r="C3" s="10" t="s">
        <v>60</v>
      </c>
      <c r="D3" s="10" t="s">
        <v>61</v>
      </c>
      <c r="E3" s="10" t="s">
        <v>62</v>
      </c>
      <c r="F3" s="10" t="s">
        <v>63</v>
      </c>
      <c r="G3" s="10" t="s">
        <v>64</v>
      </c>
      <c r="H3" s="10" t="s">
        <v>65</v>
      </c>
      <c r="I3" s="10" t="s">
        <v>66</v>
      </c>
      <c r="J3" s="10" t="s">
        <v>67</v>
      </c>
      <c r="K3" s="10" t="s">
        <v>68</v>
      </c>
      <c r="L3" s="10" t="s">
        <v>69</v>
      </c>
      <c r="M3" s="10" t="s">
        <v>70</v>
      </c>
      <c r="N3" s="10" t="s">
        <v>71</v>
      </c>
      <c r="O3" s="10" t="s">
        <v>72</v>
      </c>
      <c r="P3" s="10" t="s">
        <v>73</v>
      </c>
      <c r="Q3" s="10" t="s">
        <v>74</v>
      </c>
      <c r="R3" s="10" t="s">
        <v>75</v>
      </c>
      <c r="S3" s="10" t="s">
        <v>76</v>
      </c>
      <c r="T3" s="10" t="s">
        <v>77</v>
      </c>
      <c r="U3" s="10" t="s">
        <v>78</v>
      </c>
      <c r="V3" s="10" t="s">
        <v>79</v>
      </c>
      <c r="W3" s="10" t="s">
        <v>80</v>
      </c>
      <c r="X3" s="10" t="s">
        <v>81</v>
      </c>
      <c r="Y3" s="10" t="s">
        <v>82</v>
      </c>
    </row>
    <row r="4">
      <c r="A4" s="11" t="s">
        <v>83</v>
      </c>
      <c r="B4" s="11" t="s">
        <v>84</v>
      </c>
      <c r="C4" s="11" t="s">
        <v>85</v>
      </c>
      <c r="D4" s="11" t="s">
        <v>86</v>
      </c>
      <c r="E4" s="11" t="s">
        <v>87</v>
      </c>
      <c r="F4" s="11">
        <v>2026.0</v>
      </c>
      <c r="G4" s="11" t="s">
        <v>64</v>
      </c>
      <c r="H4" s="11">
        <v>8269329.0</v>
      </c>
      <c r="I4" s="11" t="s">
        <v>66</v>
      </c>
      <c r="J4" s="11">
        <v>0.0</v>
      </c>
      <c r="K4" s="11" t="s">
        <v>88</v>
      </c>
      <c r="L4" s="11" t="s">
        <v>69</v>
      </c>
      <c r="M4" s="11" t="s">
        <v>70</v>
      </c>
      <c r="N4" s="11" t="s">
        <v>89</v>
      </c>
      <c r="O4" s="11" t="s">
        <v>90</v>
      </c>
      <c r="P4" s="11" t="s">
        <v>73</v>
      </c>
      <c r="Q4" s="11" t="s">
        <v>74</v>
      </c>
      <c r="R4" s="11" t="s">
        <v>91</v>
      </c>
      <c r="S4" s="11" t="s">
        <v>92</v>
      </c>
      <c r="T4" s="11" t="s">
        <v>77</v>
      </c>
      <c r="U4" s="11" t="s">
        <v>78</v>
      </c>
      <c r="V4" s="12"/>
      <c r="W4" s="11" t="s">
        <v>93</v>
      </c>
      <c r="X4" s="12"/>
      <c r="Y4" s="11" t="s">
        <v>94</v>
      </c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0.0"/>
    <col customWidth="1" min="3" max="26" width="8.71"/>
  </cols>
  <sheetData>
    <row r="1" ht="18.0" customHeight="1">
      <c r="B1" s="1" t="s">
        <v>0</v>
      </c>
    </row>
    <row r="2" ht="18.0" customHeight="1">
      <c r="B2" s="5"/>
    </row>
    <row r="3" ht="18.0" customHeight="1">
      <c r="B3" s="6" t="s">
        <v>7</v>
      </c>
    </row>
    <row r="4" ht="18.0" customHeight="1">
      <c r="B4" s="5" t="s">
        <v>9</v>
      </c>
    </row>
    <row r="5" ht="18.0" customHeight="1">
      <c r="B5" s="5" t="s">
        <v>10</v>
      </c>
    </row>
    <row r="6" ht="18.0" customHeight="1">
      <c r="B6" s="5" t="s">
        <v>12</v>
      </c>
    </row>
    <row r="7" ht="18.0" customHeight="1">
      <c r="B7" s="5" t="s">
        <v>14</v>
      </c>
    </row>
    <row r="8" ht="18.0" customHeight="1">
      <c r="B8" s="5"/>
    </row>
    <row r="9" ht="18.0" customHeight="1">
      <c r="B9" s="6" t="s">
        <v>17</v>
      </c>
    </row>
    <row r="10" ht="18.0" customHeight="1">
      <c r="B10" s="5" t="s">
        <v>19</v>
      </c>
    </row>
    <row r="11" ht="18.0" customHeight="1">
      <c r="B11" s="5" t="s">
        <v>21</v>
      </c>
    </row>
    <row r="12" ht="18.0" customHeight="1">
      <c r="B12" s="5" t="s">
        <v>23</v>
      </c>
    </row>
    <row r="13" ht="18.0" customHeight="1">
      <c r="B13" s="5"/>
    </row>
    <row r="14" ht="18.0" customHeight="1">
      <c r="B14" s="6" t="s">
        <v>25</v>
      </c>
    </row>
    <row r="15">
      <c r="B15" s="5" t="s">
        <v>27</v>
      </c>
    </row>
    <row r="16" ht="18.0" customHeight="1">
      <c r="B16" s="5" t="s">
        <v>29</v>
      </c>
    </row>
    <row r="17" ht="18.0" customHeight="1">
      <c r="B17" s="5" t="s">
        <v>30</v>
      </c>
    </row>
    <row r="18" ht="18.0" customHeight="1">
      <c r="B18" s="5" t="s">
        <v>32</v>
      </c>
    </row>
    <row r="19" ht="18.0" customHeight="1">
      <c r="B19" s="5" t="s">
        <v>33</v>
      </c>
    </row>
    <row r="20" ht="18.0" customHeight="1">
      <c r="B20" s="5" t="s">
        <v>34</v>
      </c>
    </row>
    <row r="21" ht="18.0" customHeight="1">
      <c r="B21" s="5" t="s">
        <v>35</v>
      </c>
    </row>
    <row r="22" ht="18.0" customHeight="1">
      <c r="B22" s="5" t="s">
        <v>37</v>
      </c>
    </row>
    <row r="23" ht="18.0" customHeight="1">
      <c r="B23" s="5"/>
    </row>
    <row r="24" ht="18.0" customHeight="1">
      <c r="B24" s="6" t="s">
        <v>38</v>
      </c>
    </row>
    <row r="25" ht="18.0" customHeight="1">
      <c r="B25" s="5" t="s">
        <v>39</v>
      </c>
    </row>
    <row r="26" ht="18.0" customHeight="1">
      <c r="B26" s="5" t="s">
        <v>41</v>
      </c>
    </row>
    <row r="27" ht="18.0" customHeight="1">
      <c r="B27" s="5" t="s">
        <v>42</v>
      </c>
    </row>
    <row r="28" ht="18.0" customHeight="1">
      <c r="B28" s="5"/>
    </row>
    <row r="29" ht="18.0" customHeight="1">
      <c r="B29" s="6" t="s">
        <v>43</v>
      </c>
    </row>
    <row r="30" ht="18.0" customHeight="1">
      <c r="B30" s="5" t="s">
        <v>44</v>
      </c>
    </row>
    <row r="31" ht="18.0" customHeight="1">
      <c r="B31" s="5" t="s">
        <v>45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0.0"/>
    <col customWidth="1" min="2" max="2" width="8.71"/>
    <col customWidth="1" min="3" max="3" width="60.0"/>
    <col customWidth="1" min="4" max="26" width="8.71"/>
  </cols>
  <sheetData>
    <row r="1">
      <c r="A1" s="3" t="s">
        <v>2</v>
      </c>
    </row>
    <row r="3" ht="399.75" customHeight="1">
      <c r="A3" s="8" t="str">
        <f>"&lt;?xml version=""1.0"" encoding=""utf-8""?&gt;" &amp; CHAR(10) &amp; "&lt;data&gt;" &amp; CHAR(10) &amp; "  &lt;cars&gt;" &amp; CHAR(10) &amp; C4 &amp; C5 &amp; C6 &amp; C7 &amp; C8 &amp; C9 &amp; C10 &amp; C11 &amp; C12 &amp; C13 &amp; C14 &amp; C15 &amp; C16 &amp; C17 &amp; C18 &amp; C19 &amp; C20 &amp; C21 &amp; C22 &amp; C23 &amp; C24 &amp; C25 &amp; C26 &amp; C27 &amp; C28 &amp; C29 &amp; C30 &amp; "  &lt;/cars&gt;" &amp; CHAR(10) &amp; "&lt;/data&gt;"</f>
        <v>&lt;?xml version="1.0" encoding="utf-8"?&gt;
&lt;data&gt;
  &lt;cars&gt;
  &lt;car&gt;
    &lt;unique_id&gt;SGM-RAPTOR-0001&lt;/unique_id&gt;
    &lt;mark_id&gt;Ford&lt;/mark_id&gt;
    &lt;folder_id&gt;Ranger Raptor&lt;/folder_id&gt;
    &lt;modification_id&gt;2.0d AT (210 л.с.) 4WD&lt;/modification_id&gt;
    &lt;body_type&gt;Пикап Double Cab&lt;/body_type&gt;
    &lt;year&gt;2026&lt;/year&gt;
    &lt;color&gt;серый&lt;/color&gt;
    &lt;price&gt;8269329&lt;/price&gt;
    &lt;currency&gt;RUR&lt;/currency&gt;
    &lt;run&gt;0&lt;/run&gt;
    &lt;vin&gt;MPBAMFE60SX697372&lt;/vin&gt;
    &lt;availability&gt;в наличии&lt;/availability&gt;
    &lt;custom&gt;растаможен&lt;/custom&gt;
    &lt;state&gt;новый&lt;/state&gt;
    &lt;owners_number&gt;Не было владельцев&lt;/owners_number&gt;
    &lt;pts&gt;оригинал&lt;/pts&gt;
    &lt;wheel&gt;Левый&lt;/wheel&gt;
    &lt;engine_type&gt;дизель&lt;/engine_type&gt;
    &lt;drive&gt;полный&lt;/drive&gt;
    &lt;haggle&gt;возможен&lt;/haggle&gt;
    &lt;exchange&gt;Не интересует&lt;/exchange&gt;
    &lt;description&gt;🏁 Ford Ranger Raptor 2.0 4×4 · 2026
Новый, 0 км. В наличии в Самаре.
Доставка по всей России.
━━━━━━━━━━━━━━
⚙️ ФАКТЫ
Дизель 2.0 л, битурбо
Автомат, 10 передач
Полный привод 4×4
Terrain Management — 7 режимов движения
Шины 285/70 R17, легкосплавные диски
Пикап, двойная кабина
4 двери · 5 мест · левый руль
5381×2028×1922 мм · 2330 кг
Салон в коже · сборка Таиланд
📱 В салоне:
Экран 12″, приборка 12,4″
SYNC 4A, беспроводные CarPlay и Android Auto
Сиденья Raptor, электрорегулировка 10 направлений
Двухзонный климат с обдувом 2-го ряда
Адаптивный круиз Stop &amp;amp; Go
Беспроводная зарядка, розетки 12V и 230V, USB в двух рядах
🛡️ Безопасность:
7 подушек, ISOFIX
Автоторможение с распознаванием пешеходов
Ассистент экстренного манёвра
Контроль слепых зон
Камеры 360°, парктроники, автопилот парковки
ABS, ESP, HDC, TPMS
✨ Снаружи:
Матричные LED-фары с адаптивным дальним
C-образные ходовые огни, противотуманки
Арки Raptor, защита днища
Bedliner с розетками 12V и 230V
Буксировочные крюки спереди и сзади
🎨 Цвета:
белый · синий · серый · оранжевый · чёрный
━━━━━━━━━━━━━━
🚀 ЧТО ЭТО ДАЁТ
Дизель-битурбо и полный привод
везут по бездорожью и держат
трассу под грузом.
Автомат на 10 передач бережёт
топливо и мягко переключается.
7 режимов движения сами
настраивают машину под покрытие —
песок, грязь, снег.
Двойная кабина увозит пятерых,
кузов остаётся под работу.
━━━━━━━━━━━━━━
📋 УСЛОВИЯ
Продавец — SGM Auto Group
Гарантия 1 год
Цена 8 269 523,81 ₽ с учётом НДС 22%
Полный пакет документов для юрлиц
В наличии · отгрузка по всей России
━━━━━━━━━━━━━━
📞 Позвоните.
Назовём свободные цвета Raptor
на складе в Самаре и рассчитаем
доставку в ваш город.&lt;/description&gt;
    &lt;images&gt;&lt;image&gt;https://site.ru/raptor/1.jpg&lt;/image&gt;&lt;image&gt;https://site.ru/raptor/2.jpg&lt;/image&gt;&lt;/images&gt;
  &lt;/car&gt;
  &lt;/cars&gt;
&lt;/data&gt;</v>
      </c>
      <c r="C3" s="9" t="s">
        <v>48</v>
      </c>
    </row>
    <row r="4">
      <c r="C4" s="13" t="str">
        <f>IF('Фид (легковые)'!B4&lt;&gt;"", "  &lt;car&gt;" &amp; CHAR(10) &amp; IF('Фид (легковые)'!A4&lt;&gt;"", "    &lt;unique_id&gt;" &amp; 'Фид (легковые)'!A4 &amp; "&lt;/unique_id&gt;", "") &amp; CHAR(10) &amp; IF('Фид (легковые)'!B4&lt;&gt;"", "    &lt;mark_id&gt;" &amp; 'Фид (легковые)'!B4 &amp; "&lt;/mark_id&gt;", "") &amp; CHAR(10) &amp; IF('Фид (легковые)'!C4&lt;&gt;"", "    &lt;folder_id&gt;" &amp; 'Фид (легковые)'!C4 &amp; "&lt;/folder_id&gt;", "") &amp; CHAR(10) &amp; IF('Фид (легковые)'!D4&lt;&gt;"", "    &lt;modification_id&gt;" &amp; 'Фид (легковые)'!D4 &amp; "&lt;/modification_id&gt;", "") &amp; CHAR(10) &amp; IF('Фид (легковые)'!E4&lt;&gt;"", "    &lt;body_type&gt;" &amp; 'Фид (легковые)'!E4 &amp; "&lt;/body_type&gt;", "") &amp; CHAR(10) &amp; IF('Фид (легковые)'!F4&lt;&gt;"", "    &lt;year&gt;" &amp; 'Фид (легковые)'!F4 &amp; "&lt;/year&gt;", "") &amp; CHAR(10) &amp; IF('Фид (легковые)'!G4&lt;&gt;"", "    &lt;color&gt;" &amp; 'Фид (легковые)'!G4 &amp; "&lt;/color&gt;", "") &amp; CHAR(10) &amp; IF('Фид (легковые)'!H4&lt;&gt;"", "    &lt;price&gt;" &amp; 'Фид (легковые)'!H4 &amp; "&lt;/price&gt;", "") &amp; CHAR(10) &amp; IF('Фид (легковые)'!I4&lt;&gt;"", "    &lt;currency&gt;" &amp; 'Фид (легковые)'!I4 &amp; "&lt;/currency&gt;", "") &amp; CHAR(10) &amp; IF('Фид (легковые)'!J4&lt;&gt;"", "    &lt;run&gt;" &amp; 'Фид (легковые)'!J4 &amp; "&lt;/run&gt;", "") &amp; CHAR(10) &amp; IF('Фид (легковые)'!K4&lt;&gt;"", "    &lt;vin&gt;" &amp; 'Фид (легковые)'!K4 &amp; "&lt;/vin&gt;", "") &amp; CHAR(10) &amp; IF('Фид (легковые)'!L4&lt;&gt;"", "    &lt;availability&gt;" &amp; 'Фид (легковые)'!L4 &amp; "&lt;/availability&gt;", "") &amp; CHAR(10) &amp; IF('Фид (легковые)'!M4&lt;&gt;"", "    &lt;custom&gt;" &amp; 'Фид (легковые)'!M4 &amp; "&lt;/custom&gt;", "") &amp; CHAR(10) &amp; IF('Фид (легковые)'!N4&lt;&gt;"", "    &lt;state&gt;" &amp; 'Фид (легковые)'!N4 &amp; "&lt;/state&gt;", "") &amp; CHAR(10) &amp; IF('Фид (легковые)'!O4&lt;&gt;"", "    &lt;owners_number&gt;" &amp; 'Фид (легковые)'!O4 &amp; "&lt;/owners_number&gt;", "") &amp; CHAR(10) &amp; IF('Фид (легковые)'!P4&lt;&gt;"", "    &lt;pts&gt;" &amp; 'Фид (легковые)'!P4 &amp; "&lt;/pts&gt;", "") &amp; CHAR(10) &amp; IF('Фид (легковые)'!Q4&lt;&gt;"", "    &lt;wheel&gt;" &amp; 'Фид (легковые)'!Q4 &amp; "&lt;/wheel&gt;", "") &amp; CHAR(10) &amp; IF('Фид (легковые)'!R4&lt;&gt;"", "    &lt;engine_type&gt;" &amp; 'Фид (легковые)'!R4 &amp; "&lt;/engine_type&gt;", "") &amp; CHAR(10) &amp; IF('Фид (легковые)'!S4&lt;&gt;"", "    &lt;drive&gt;" &amp; 'Фид (легковые)'!S4 &amp; "&lt;/drive&gt;", "") &amp; CHAR(10) &amp; IF('Фид (легковые)'!T4&lt;&gt;"", "    &lt;haggle&gt;" &amp; 'Фид (легковые)'!T4 &amp; "&lt;/haggle&gt;", "") &amp; CHAR(10) &amp; IF('Фид (легковые)'!U4&lt;&gt;"", "    &lt;exchange&gt;" &amp; 'Фид (легковые)'!U4 &amp; "&lt;/exchange&gt;", "") &amp; CHAR(10) &amp; IF('Фид (легковые)'!V4&lt;&gt;"", "    &lt;max_discount&gt;" &amp; 'Фид (легковые)'!V4 &amp; "&lt;/max_discount&gt;", "") &amp; CHAR(10) &amp; IF('Фид (легковые)'!W4&lt;&gt;"", "    &lt;description&gt;" &amp; SUBSTITUTE(SUBSTITUTE(SUBSTITUTE('Фид (легковые)'!W4,"&amp;","&amp;amp;"),"&lt;","&amp;lt;"),"&gt;","&amp;gt;") &amp; "&lt;/description&gt;", "") &amp; CHAR(10) &amp; IF('Фид (легковые)'!X4&lt;&gt;"", "    &lt;url&gt;" &amp; 'Фид (легковые)'!X4 &amp; "&lt;/url&gt;", "") &amp; CHAR(10) &amp; IF('Фид (легковые)'!Y4&lt;&gt;"", "    &lt;images&gt;&lt;image&gt;" &amp; SUBSTITUTE(SUBSTITUTE(SUBSTITUTE(SUBSTITUTE('Фид (легковые)'!Y4,"&amp;","&amp;amp;"),"&lt;","&amp;lt;"),"&gt;","&amp;gt;"),"|","&lt;/image&gt;&lt;image&gt;") &amp; "&lt;/image&gt;&lt;/images&gt;", "") &amp; CHAR(10) &amp; "  &lt;/car&gt;" &amp; CHAR(10), "")</f>
        <v>  &lt;car&gt;
    &lt;unique_id&gt;SGM-RAPTOR-0001&lt;/unique_id&gt;
    &lt;mark_id&gt;Ford&lt;/mark_id&gt;
    &lt;folder_id&gt;Ranger Raptor&lt;/folder_id&gt;
    &lt;modification_id&gt;2.0d AT (210 л.с.) 4WD&lt;/modification_id&gt;
    &lt;body_type&gt;Пикап Double Cab&lt;/body_type&gt;
    &lt;year&gt;2026&lt;/year&gt;
    &lt;color&gt;серый&lt;/color&gt;
    &lt;price&gt;8269329&lt;/price&gt;
    &lt;currency&gt;RUR&lt;/currency&gt;
    &lt;run&gt;0&lt;/run&gt;
    &lt;vin&gt;MPBAMFE60SX697372&lt;/vin&gt;
    &lt;availability&gt;в наличии&lt;/availability&gt;
    &lt;custom&gt;растаможен&lt;/custom&gt;
    &lt;state&gt;новый&lt;/state&gt;
    &lt;owners_number&gt;Не было владельцев&lt;/owners_number&gt;
    &lt;pts&gt;оригинал&lt;/pts&gt;
    &lt;wheel&gt;Левый&lt;/wheel&gt;
    &lt;engine_type&gt;дизель&lt;/engine_type&gt;
    &lt;drive&gt;полный&lt;/drive&gt;
    &lt;haggle&gt;возможен&lt;/haggle&gt;
    &lt;exchange&gt;Не интересует&lt;/exchange&gt;
    &lt;description&gt;🏁 Ford Ranger Raptor 2.0 4×4 · 2026
Новый, 0 км. В наличии в Самаре.
Доставка по всей России.
━━━━━━━━━━━━━━
⚙️ ФАКТЫ
Дизель 2.0 л, битурбо
Автомат, 10 передач
Полный привод 4×4
Terrain Management — 7 режимов движения
Шины 285/70 R17, легкосплавные диски
Пикап, двойная кабина
4 двери · 5 мест · левый руль
5381×2028×1922 мм · 2330 кг
Салон в коже · сборка Таиланд
📱 В салоне:
Экран 12″, приборка 12,4″
SYNC 4A, беспроводные CarPlay и Android Auto
Сиденья Raptor, электрорегулировка 10 направлений
Двухзонный климат с обдувом 2-го ряда
Адаптивный круиз Stop &amp;amp; Go
Беспроводная зарядка, розетки 12V и 230V, USB в двух рядах
🛡️ Безопасность:
7 подушек, ISOFIX
Автоторможение с распознаванием пешеходов
Ассистент экстренного манёвра
Контроль слепых зон
Камеры 360°, парктроники, автопилот парковки
ABS, ESP, HDC, TPMS
✨ Снаружи:
Матричные LED-фары с адаптивным дальним
C-образные ходовые огни, противотуманки
Арки Raptor, защита днища
Bedliner с розетками 12V и 230V
Буксировочные крюки спереди и сзади
🎨 Цвета:
белый · синий · серый · оранжевый · чёрный
━━━━━━━━━━━━━━
🚀 ЧТО ЭТО ДАЁТ
Дизель-битурбо и полный привод
везут по бездорожью и держат
трассу под грузом.
Автомат на 10 передач бережёт
топливо и мягко переключается.
7 режимов движения сами
настраивают машину под покрытие —
песок, грязь, снег.
Двойная кабина увозит пятерых,
кузов остаётся под работу.
━━━━━━━━━━━━━━
📋 УСЛОВИЯ
Продавец — SGM Auto Group
Гарантия 1 год
Цена 8 269 523,81 ₽ с учётом НДС 22%
Полный пакет документов для юрлиц
В наличии · отгрузка по всей России
━━━━━━━━━━━━━━
📞 Позвоните.
Назовём свободные цвета Raptor
на складе в Самаре и рассчитаем
доставку в ваш город.&lt;/description&gt;
    &lt;images&gt;&lt;image&gt;https://site.ru/raptor/1.jpg&lt;/image&gt;&lt;image&gt;https://site.ru/raptor/2.jpg&lt;/image&gt;&lt;/images&gt;
  &lt;/car&gt;
</v>
      </c>
    </row>
    <row r="5">
      <c r="C5" s="13" t="str">
        <f>IF('Фид (легковые)'!B5&lt;&gt;"", "  &lt;car&gt;" &amp; CHAR(10) &amp; IF('Фид (легковые)'!A5&lt;&gt;"", "    &lt;unique_id&gt;" &amp; 'Фид (легковые)'!A5 &amp; "&lt;/unique_id&gt;", "") &amp; CHAR(10) &amp; IF('Фид (легковые)'!B5&lt;&gt;"", "    &lt;mark_id&gt;" &amp; 'Фид (легковые)'!B5 &amp; "&lt;/mark_id&gt;", "") &amp; CHAR(10) &amp; IF('Фид (легковые)'!C5&lt;&gt;"", "    &lt;folder_id&gt;" &amp; 'Фид (легковые)'!C5 &amp; "&lt;/folder_id&gt;", "") &amp; CHAR(10) &amp; IF('Фид (легковые)'!D5&lt;&gt;"", "    &lt;modification_id&gt;" &amp; 'Фид (легковые)'!D5 &amp; "&lt;/modification_id&gt;", "") &amp; CHAR(10) &amp; IF('Фид (легковые)'!E5&lt;&gt;"", "    &lt;body_type&gt;" &amp; 'Фид (легковые)'!E5 &amp; "&lt;/body_type&gt;", "") &amp; CHAR(10) &amp; IF('Фид (легковые)'!F5&lt;&gt;"", "    &lt;year&gt;" &amp; 'Фид (легковые)'!F5 &amp; "&lt;/year&gt;", "") &amp; CHAR(10) &amp; IF('Фид (легковые)'!G5&lt;&gt;"", "    &lt;color&gt;" &amp; 'Фид (легковые)'!G5 &amp; "&lt;/color&gt;", "") &amp; CHAR(10) &amp; IF('Фид (легковые)'!H5&lt;&gt;"", "    &lt;price&gt;" &amp; 'Фид (легковые)'!H5 &amp; "&lt;/price&gt;", "") &amp; CHAR(10) &amp; IF('Фид (легковые)'!I5&lt;&gt;"", "    &lt;currency&gt;" &amp; 'Фид (легковые)'!I5 &amp; "&lt;/currency&gt;", "") &amp; CHAR(10) &amp; IF('Фид (легковые)'!J5&lt;&gt;"", "    &lt;run&gt;" &amp; 'Фид (легковые)'!J5 &amp; "&lt;/run&gt;", "") &amp; CHAR(10) &amp; IF('Фид (легковые)'!K5&lt;&gt;"", "    &lt;vin&gt;" &amp; 'Фид (легковые)'!K5 &amp; "&lt;/vin&gt;", "") &amp; CHAR(10) &amp; IF('Фид (легковые)'!L5&lt;&gt;"", "    &lt;availability&gt;" &amp; 'Фид (легковые)'!L5 &amp; "&lt;/availability&gt;", "") &amp; CHAR(10) &amp; IF('Фид (легковые)'!M5&lt;&gt;"", "    &lt;custom&gt;" &amp; 'Фид (легковые)'!M5 &amp; "&lt;/custom&gt;", "") &amp; CHAR(10) &amp; IF('Фид (легковые)'!N5&lt;&gt;"", "    &lt;state&gt;" &amp; 'Фид (легковые)'!N5 &amp; "&lt;/state&gt;", "") &amp; CHAR(10) &amp; IF('Фид (легковые)'!O5&lt;&gt;"", "    &lt;owners_number&gt;" &amp; 'Фид (легковые)'!O5 &amp; "&lt;/owners_number&gt;", "") &amp; CHAR(10) &amp; IF('Фид (легковые)'!P5&lt;&gt;"", "    &lt;pts&gt;" &amp; 'Фид (легковые)'!P5 &amp; "&lt;/pts&gt;", "") &amp; CHAR(10) &amp; IF('Фид (легковые)'!Q5&lt;&gt;"", "    &lt;wheel&gt;" &amp; 'Фид (легковые)'!Q5 &amp; "&lt;/wheel&gt;", "") &amp; CHAR(10) &amp; IF('Фид (легковые)'!R5&lt;&gt;"", "    &lt;engine_type&gt;" &amp; 'Фид (легковые)'!R5 &amp; "&lt;/engine_type&gt;", "") &amp; CHAR(10) &amp; IF('Фид (легковые)'!S5&lt;&gt;"", "    &lt;drive&gt;" &amp; 'Фид (легковые)'!S5 &amp; "&lt;/drive&gt;", "") &amp; CHAR(10) &amp; IF('Фид (легковые)'!T5&lt;&gt;"", "    &lt;haggle&gt;" &amp; 'Фид (легковые)'!T5 &amp; "&lt;/haggle&gt;", "") &amp; CHAR(10) &amp; IF('Фид (легковые)'!U5&lt;&gt;"", "    &lt;exchange&gt;" &amp; 'Фид (легковые)'!U5 &amp; "&lt;/exchange&gt;", "") &amp; CHAR(10) &amp; IF('Фид (легковые)'!V5&lt;&gt;"", "    &lt;max_discount&gt;" &amp; 'Фид (легковые)'!V5 &amp; "&lt;/max_discount&gt;", "") &amp; CHAR(10) &amp; IF('Фид (легковые)'!W5&lt;&gt;"", "    &lt;description&gt;" &amp; SUBSTITUTE(SUBSTITUTE(SUBSTITUTE('Фид (легковые)'!W5,"&amp;","&amp;amp;"),"&lt;","&amp;lt;"),"&gt;","&amp;gt;") &amp; "&lt;/description&gt;", "") &amp; CHAR(10) &amp; IF('Фид (легковые)'!X5&lt;&gt;"", "    &lt;url&gt;" &amp; 'Фид (легковые)'!X5 &amp; "&lt;/url&gt;", "") &amp; CHAR(10) &amp; IF('Фид (легковые)'!Y5&lt;&gt;"", "    &lt;images&gt;&lt;image&gt;" &amp; SUBSTITUTE(SUBSTITUTE(SUBSTITUTE(SUBSTITUTE('Фид (легковые)'!Y5,"&amp;","&amp;amp;"),"&lt;","&amp;lt;"),"&gt;","&amp;gt;"),"|","&lt;/image&gt;&lt;image&gt;") &amp; "&lt;/image&gt;&lt;/images&gt;", "") &amp; CHAR(10) &amp; "  &lt;/car&gt;" &amp; CHAR(10), "")</f>
        <v/>
      </c>
    </row>
    <row r="6">
      <c r="C6" s="13" t="str">
        <f>IF('Фид (легковые)'!B6&lt;&gt;"", "  &lt;car&gt;" &amp; CHAR(10) &amp; IF('Фид (легковые)'!A6&lt;&gt;"", "    &lt;unique_id&gt;" &amp; 'Фид (легковые)'!A6 &amp; "&lt;/unique_id&gt;", "") &amp; CHAR(10) &amp; IF('Фид (легковые)'!B6&lt;&gt;"", "    &lt;mark_id&gt;" &amp; 'Фид (легковые)'!B6 &amp; "&lt;/mark_id&gt;", "") &amp; CHAR(10) &amp; IF('Фид (легковые)'!C6&lt;&gt;"", "    &lt;folder_id&gt;" &amp; 'Фид (легковые)'!C6 &amp; "&lt;/folder_id&gt;", "") &amp; CHAR(10) &amp; IF('Фид (легковые)'!D6&lt;&gt;"", "    &lt;modification_id&gt;" &amp; 'Фид (легковые)'!D6 &amp; "&lt;/modification_id&gt;", "") &amp; CHAR(10) &amp; IF('Фид (легковые)'!E6&lt;&gt;"", "    &lt;body_type&gt;" &amp; 'Фид (легковые)'!E6 &amp; "&lt;/body_type&gt;", "") &amp; CHAR(10) &amp; IF('Фид (легковые)'!F6&lt;&gt;"", "    &lt;year&gt;" &amp; 'Фид (легковые)'!F6 &amp; "&lt;/year&gt;", "") &amp; CHAR(10) &amp; IF('Фид (легковые)'!G6&lt;&gt;"", "    &lt;color&gt;" &amp; 'Фид (легковые)'!G6 &amp; "&lt;/color&gt;", "") &amp; CHAR(10) &amp; IF('Фид (легковые)'!H6&lt;&gt;"", "    &lt;price&gt;" &amp; 'Фид (легковые)'!H6 &amp; "&lt;/price&gt;", "") &amp; CHAR(10) &amp; IF('Фид (легковые)'!I6&lt;&gt;"", "    &lt;currency&gt;" &amp; 'Фид (легковые)'!I6 &amp; "&lt;/currency&gt;", "") &amp; CHAR(10) &amp; IF('Фид (легковые)'!J6&lt;&gt;"", "    &lt;run&gt;" &amp; 'Фид (легковые)'!J6 &amp; "&lt;/run&gt;", "") &amp; CHAR(10) &amp; IF('Фид (легковые)'!K6&lt;&gt;"", "    &lt;vin&gt;" &amp; 'Фид (легковые)'!K6 &amp; "&lt;/vin&gt;", "") &amp; CHAR(10) &amp; IF('Фид (легковые)'!L6&lt;&gt;"", "    &lt;availability&gt;" &amp; 'Фид (легковые)'!L6 &amp; "&lt;/availability&gt;", "") &amp; CHAR(10) &amp; IF('Фид (легковые)'!M6&lt;&gt;"", "    &lt;custom&gt;" &amp; 'Фид (легковые)'!M6 &amp; "&lt;/custom&gt;", "") &amp; CHAR(10) &amp; IF('Фид (легковые)'!N6&lt;&gt;"", "    &lt;state&gt;" &amp; 'Фид (легковые)'!N6 &amp; "&lt;/state&gt;", "") &amp; CHAR(10) &amp; IF('Фид (легковые)'!O6&lt;&gt;"", "    &lt;owners_number&gt;" &amp; 'Фид (легковые)'!O6 &amp; "&lt;/owners_number&gt;", "") &amp; CHAR(10) &amp; IF('Фид (легковые)'!P6&lt;&gt;"", "    &lt;pts&gt;" &amp; 'Фид (легковые)'!P6 &amp; "&lt;/pts&gt;", "") &amp; CHAR(10) &amp; IF('Фид (легковые)'!Q6&lt;&gt;"", "    &lt;wheel&gt;" &amp; 'Фид (легковые)'!Q6 &amp; "&lt;/wheel&gt;", "") &amp; CHAR(10) &amp; IF('Фид (легковые)'!R6&lt;&gt;"", "    &lt;engine_type&gt;" &amp; 'Фид (легковые)'!R6 &amp; "&lt;/engine_type&gt;", "") &amp; CHAR(10) &amp; IF('Фид (легковые)'!S6&lt;&gt;"", "    &lt;drive&gt;" &amp; 'Фид (легковые)'!S6 &amp; "&lt;/drive&gt;", "") &amp; CHAR(10) &amp; IF('Фид (легковые)'!T6&lt;&gt;"", "    &lt;haggle&gt;" &amp; 'Фид (легковые)'!T6 &amp; "&lt;/haggle&gt;", "") &amp; CHAR(10) &amp; IF('Фид (легковые)'!U6&lt;&gt;"", "    &lt;exchange&gt;" &amp; 'Фид (легковые)'!U6 &amp; "&lt;/exchange&gt;", "") &amp; CHAR(10) &amp; IF('Фид (легковые)'!V6&lt;&gt;"", "    &lt;max_discount&gt;" &amp; 'Фид (легковые)'!V6 &amp; "&lt;/max_discount&gt;", "") &amp; CHAR(10) &amp; IF('Фид (легковые)'!W6&lt;&gt;"", "    &lt;description&gt;" &amp; SUBSTITUTE(SUBSTITUTE(SUBSTITUTE('Фид (легковые)'!W6,"&amp;","&amp;amp;"),"&lt;","&amp;lt;"),"&gt;","&amp;gt;") &amp; "&lt;/description&gt;", "") &amp; CHAR(10) &amp; IF('Фид (легковые)'!X6&lt;&gt;"", "    &lt;url&gt;" &amp; 'Фид (легковые)'!X6 &amp; "&lt;/url&gt;", "") &amp; CHAR(10) &amp; IF('Фид (легковые)'!Y6&lt;&gt;"", "    &lt;images&gt;&lt;image&gt;" &amp; SUBSTITUTE(SUBSTITUTE(SUBSTITUTE(SUBSTITUTE('Фид (легковые)'!Y6,"&amp;","&amp;amp;"),"&lt;","&amp;lt;"),"&gt;","&amp;gt;"),"|","&lt;/image&gt;&lt;image&gt;") &amp; "&lt;/image&gt;&lt;/images&gt;", "") &amp; CHAR(10) &amp; "  &lt;/car&gt;" &amp; CHAR(10), "")</f>
        <v/>
      </c>
    </row>
    <row r="7">
      <c r="C7" s="13" t="str">
        <f>IF('Фид (легковые)'!B7&lt;&gt;"", "  &lt;car&gt;" &amp; CHAR(10) &amp; IF('Фид (легковые)'!A7&lt;&gt;"", "    &lt;unique_id&gt;" &amp; 'Фид (легковые)'!A7 &amp; "&lt;/unique_id&gt;", "") &amp; CHAR(10) &amp; IF('Фид (легковые)'!B7&lt;&gt;"", "    &lt;mark_id&gt;" &amp; 'Фид (легковые)'!B7 &amp; "&lt;/mark_id&gt;", "") &amp; CHAR(10) &amp; IF('Фид (легковые)'!C7&lt;&gt;"", "    &lt;folder_id&gt;" &amp; 'Фид (легковые)'!C7 &amp; "&lt;/folder_id&gt;", "") &amp; CHAR(10) &amp; IF('Фид (легковые)'!D7&lt;&gt;"", "    &lt;modification_id&gt;" &amp; 'Фид (легковые)'!D7 &amp; "&lt;/modification_id&gt;", "") &amp; CHAR(10) &amp; IF('Фид (легковые)'!E7&lt;&gt;"", "    &lt;body_type&gt;" &amp; 'Фид (легковые)'!E7 &amp; "&lt;/body_type&gt;", "") &amp; CHAR(10) &amp; IF('Фид (легковые)'!F7&lt;&gt;"", "    &lt;year&gt;" &amp; 'Фид (легковые)'!F7 &amp; "&lt;/year&gt;", "") &amp; CHAR(10) &amp; IF('Фид (легковые)'!G7&lt;&gt;"", "    &lt;color&gt;" &amp; 'Фид (легковые)'!G7 &amp; "&lt;/color&gt;", "") &amp; CHAR(10) &amp; IF('Фид (легковые)'!H7&lt;&gt;"", "    &lt;price&gt;" &amp; 'Фид (легковые)'!H7 &amp; "&lt;/price&gt;", "") &amp; CHAR(10) &amp; IF('Фид (легковые)'!I7&lt;&gt;"", "    &lt;currency&gt;" &amp; 'Фид (легковые)'!I7 &amp; "&lt;/currency&gt;", "") &amp; CHAR(10) &amp; IF('Фид (легковые)'!J7&lt;&gt;"", "    &lt;run&gt;" &amp; 'Фид (легковые)'!J7 &amp; "&lt;/run&gt;", "") &amp; CHAR(10) &amp; IF('Фид (легковые)'!K7&lt;&gt;"", "    &lt;vin&gt;" &amp; 'Фид (легковые)'!K7 &amp; "&lt;/vin&gt;", "") &amp; CHAR(10) &amp; IF('Фид (легковые)'!L7&lt;&gt;"", "    &lt;availability&gt;" &amp; 'Фид (легковые)'!L7 &amp; "&lt;/availability&gt;", "") &amp; CHAR(10) &amp; IF('Фид (легковые)'!M7&lt;&gt;"", "    &lt;custom&gt;" &amp; 'Фид (легковые)'!M7 &amp; "&lt;/custom&gt;", "") &amp; CHAR(10) &amp; IF('Фид (легковые)'!N7&lt;&gt;"", "    &lt;state&gt;" &amp; 'Фид (легковые)'!N7 &amp; "&lt;/state&gt;", "") &amp; CHAR(10) &amp; IF('Фид (легковые)'!O7&lt;&gt;"", "    &lt;owners_number&gt;" &amp; 'Фид (легковые)'!O7 &amp; "&lt;/owners_number&gt;", "") &amp; CHAR(10) &amp; IF('Фид (легковые)'!P7&lt;&gt;"", "    &lt;pts&gt;" &amp; 'Фид (легковые)'!P7 &amp; "&lt;/pts&gt;", "") &amp; CHAR(10) &amp; IF('Фид (легковые)'!Q7&lt;&gt;"", "    &lt;wheel&gt;" &amp; 'Фид (легковые)'!Q7 &amp; "&lt;/wheel&gt;", "") &amp; CHAR(10) &amp; IF('Фид (легковые)'!R7&lt;&gt;"", "    &lt;engine_type&gt;" &amp; 'Фид (легковые)'!R7 &amp; "&lt;/engine_type&gt;", "") &amp; CHAR(10) &amp; IF('Фид (легковые)'!S7&lt;&gt;"", "    &lt;drive&gt;" &amp; 'Фид (легковые)'!S7 &amp; "&lt;/drive&gt;", "") &amp; CHAR(10) &amp; IF('Фид (легковые)'!T7&lt;&gt;"", "    &lt;haggle&gt;" &amp; 'Фид (легковые)'!T7 &amp; "&lt;/haggle&gt;", "") &amp; CHAR(10) &amp; IF('Фид (легковые)'!U7&lt;&gt;"", "    &lt;exchange&gt;" &amp; 'Фид (легковые)'!U7 &amp; "&lt;/exchange&gt;", "") &amp; CHAR(10) &amp; IF('Фид (легковые)'!V7&lt;&gt;"", "    &lt;max_discount&gt;" &amp; 'Фид (легковые)'!V7 &amp; "&lt;/max_discount&gt;", "") &amp; CHAR(10) &amp; IF('Фид (легковые)'!W7&lt;&gt;"", "    &lt;description&gt;" &amp; SUBSTITUTE(SUBSTITUTE(SUBSTITUTE('Фид (легковые)'!W7,"&amp;","&amp;amp;"),"&lt;","&amp;lt;"),"&gt;","&amp;gt;") &amp; "&lt;/description&gt;", "") &amp; CHAR(10) &amp; IF('Фид (легковые)'!X7&lt;&gt;"", "    &lt;url&gt;" &amp; 'Фид (легковые)'!X7 &amp; "&lt;/url&gt;", "") &amp; CHAR(10) &amp; IF('Фид (легковые)'!Y7&lt;&gt;"", "    &lt;images&gt;&lt;image&gt;" &amp; SUBSTITUTE(SUBSTITUTE(SUBSTITUTE(SUBSTITUTE('Фид (легковые)'!Y7,"&amp;","&amp;amp;"),"&lt;","&amp;lt;"),"&gt;","&amp;gt;"),"|","&lt;/image&gt;&lt;image&gt;") &amp; "&lt;/image&gt;&lt;/images&gt;", "") &amp; CHAR(10) &amp; "  &lt;/car&gt;" &amp; CHAR(10), "")</f>
        <v/>
      </c>
    </row>
    <row r="8">
      <c r="C8" s="13" t="str">
        <f>IF('Фид (легковые)'!B8&lt;&gt;"", "  &lt;car&gt;" &amp; CHAR(10) &amp; IF('Фид (легковые)'!A8&lt;&gt;"", "    &lt;unique_id&gt;" &amp; 'Фид (легковые)'!A8 &amp; "&lt;/unique_id&gt;", "") &amp; CHAR(10) &amp; IF('Фид (легковые)'!B8&lt;&gt;"", "    &lt;mark_id&gt;" &amp; 'Фид (легковые)'!B8 &amp; "&lt;/mark_id&gt;", "") &amp; CHAR(10) &amp; IF('Фид (легковые)'!C8&lt;&gt;"", "    &lt;folder_id&gt;" &amp; 'Фид (легковые)'!C8 &amp; "&lt;/folder_id&gt;", "") &amp; CHAR(10) &amp; IF('Фид (легковые)'!D8&lt;&gt;"", "    &lt;modification_id&gt;" &amp; 'Фид (легковые)'!D8 &amp; "&lt;/modification_id&gt;", "") &amp; CHAR(10) &amp; IF('Фид (легковые)'!E8&lt;&gt;"", "    &lt;body_type&gt;" &amp; 'Фид (легковые)'!E8 &amp; "&lt;/body_type&gt;", "") &amp; CHAR(10) &amp; IF('Фид (легковые)'!F8&lt;&gt;"", "    &lt;year&gt;" &amp; 'Фид (легковые)'!F8 &amp; "&lt;/year&gt;", "") &amp; CHAR(10) &amp; IF('Фид (легковые)'!G8&lt;&gt;"", "    &lt;color&gt;" &amp; 'Фид (легковые)'!G8 &amp; "&lt;/color&gt;", "") &amp; CHAR(10) &amp; IF('Фид (легковые)'!H8&lt;&gt;"", "    &lt;price&gt;" &amp; 'Фид (легковые)'!H8 &amp; "&lt;/price&gt;", "") &amp; CHAR(10) &amp; IF('Фид (легковые)'!I8&lt;&gt;"", "    &lt;currency&gt;" &amp; 'Фид (легковые)'!I8 &amp; "&lt;/currency&gt;", "") &amp; CHAR(10) &amp; IF('Фид (легковые)'!J8&lt;&gt;"", "    &lt;run&gt;" &amp; 'Фид (легковые)'!J8 &amp; "&lt;/run&gt;", "") &amp; CHAR(10) &amp; IF('Фид (легковые)'!K8&lt;&gt;"", "    &lt;vin&gt;" &amp; 'Фид (легковые)'!K8 &amp; "&lt;/vin&gt;", "") &amp; CHAR(10) &amp; IF('Фид (легковые)'!L8&lt;&gt;"", "    &lt;availability&gt;" &amp; 'Фид (легковые)'!L8 &amp; "&lt;/availability&gt;", "") &amp; CHAR(10) &amp; IF('Фид (легковые)'!M8&lt;&gt;"", "    &lt;custom&gt;" &amp; 'Фид (легковые)'!M8 &amp; "&lt;/custom&gt;", "") &amp; CHAR(10) &amp; IF('Фид (легковые)'!N8&lt;&gt;"", "    &lt;state&gt;" &amp; 'Фид (легковые)'!N8 &amp; "&lt;/state&gt;", "") &amp; CHAR(10) &amp; IF('Фид (легковые)'!O8&lt;&gt;"", "    &lt;owners_number&gt;" &amp; 'Фид (легковые)'!O8 &amp; "&lt;/owners_number&gt;", "") &amp; CHAR(10) &amp; IF('Фид (легковые)'!P8&lt;&gt;"", "    &lt;pts&gt;" &amp; 'Фид (легковые)'!P8 &amp; "&lt;/pts&gt;", "") &amp; CHAR(10) &amp; IF('Фид (легковые)'!Q8&lt;&gt;"", "    &lt;wheel&gt;" &amp; 'Фид (легковые)'!Q8 &amp; "&lt;/wheel&gt;", "") &amp; CHAR(10) &amp; IF('Фид (легковые)'!R8&lt;&gt;"", "    &lt;engine_type&gt;" &amp; 'Фид (легковые)'!R8 &amp; "&lt;/engine_type&gt;", "") &amp; CHAR(10) &amp; IF('Фид (легковые)'!S8&lt;&gt;"", "    &lt;drive&gt;" &amp; 'Фид (легковые)'!S8 &amp; "&lt;/drive&gt;", "") &amp; CHAR(10) &amp; IF('Фид (легковые)'!T8&lt;&gt;"", "    &lt;haggle&gt;" &amp; 'Фид (легковые)'!T8 &amp; "&lt;/haggle&gt;", "") &amp; CHAR(10) &amp; IF('Фид (легковые)'!U8&lt;&gt;"", "    &lt;exchange&gt;" &amp; 'Фид (легковые)'!U8 &amp; "&lt;/exchange&gt;", "") &amp; CHAR(10) &amp; IF('Фид (легковые)'!V8&lt;&gt;"", "    &lt;max_discount&gt;" &amp; 'Фид (легковые)'!V8 &amp; "&lt;/max_discount&gt;", "") &amp; CHAR(10) &amp; IF('Фид (легковые)'!W8&lt;&gt;"", "    &lt;description&gt;" &amp; SUBSTITUTE(SUBSTITUTE(SUBSTITUTE('Фид (легковые)'!W8,"&amp;","&amp;amp;"),"&lt;","&amp;lt;"),"&gt;","&amp;gt;") &amp; "&lt;/description&gt;", "") &amp; CHAR(10) &amp; IF('Фид (легковые)'!X8&lt;&gt;"", "    &lt;url&gt;" &amp; 'Фид (легковые)'!X8 &amp; "&lt;/url&gt;", "") &amp; CHAR(10) &amp; IF('Фид (легковые)'!Y8&lt;&gt;"", "    &lt;images&gt;&lt;image&gt;" &amp; SUBSTITUTE(SUBSTITUTE(SUBSTITUTE(SUBSTITUTE('Фид (легковые)'!Y8,"&amp;","&amp;amp;"),"&lt;","&amp;lt;"),"&gt;","&amp;gt;"),"|","&lt;/image&gt;&lt;image&gt;") &amp; "&lt;/image&gt;&lt;/images&gt;", "") &amp; CHAR(10) &amp; "  &lt;/car&gt;" &amp; CHAR(10), "")</f>
        <v/>
      </c>
    </row>
    <row r="9">
      <c r="C9" s="13" t="str">
        <f>IF('Фид (легковые)'!B9&lt;&gt;"", "  &lt;car&gt;" &amp; CHAR(10) &amp; IF('Фид (легковые)'!A9&lt;&gt;"", "    &lt;unique_id&gt;" &amp; 'Фид (легковые)'!A9 &amp; "&lt;/unique_id&gt;", "") &amp; CHAR(10) &amp; IF('Фид (легковые)'!B9&lt;&gt;"", "    &lt;mark_id&gt;" &amp; 'Фид (легковые)'!B9 &amp; "&lt;/mark_id&gt;", "") &amp; CHAR(10) &amp; IF('Фид (легковые)'!C9&lt;&gt;"", "    &lt;folder_id&gt;" &amp; 'Фид (легковые)'!C9 &amp; "&lt;/folder_id&gt;", "") &amp; CHAR(10) &amp; IF('Фид (легковые)'!D9&lt;&gt;"", "    &lt;modification_id&gt;" &amp; 'Фид (легковые)'!D9 &amp; "&lt;/modification_id&gt;", "") &amp; CHAR(10) &amp; IF('Фид (легковые)'!E9&lt;&gt;"", "    &lt;body_type&gt;" &amp; 'Фид (легковые)'!E9 &amp; "&lt;/body_type&gt;", "") &amp; CHAR(10) &amp; IF('Фид (легковые)'!F9&lt;&gt;"", "    &lt;year&gt;" &amp; 'Фид (легковые)'!F9 &amp; "&lt;/year&gt;", "") &amp; CHAR(10) &amp; IF('Фид (легковые)'!G9&lt;&gt;"", "    &lt;color&gt;" &amp; 'Фид (легковые)'!G9 &amp; "&lt;/color&gt;", "") &amp; CHAR(10) &amp; IF('Фид (легковые)'!H9&lt;&gt;"", "    &lt;price&gt;" &amp; 'Фид (легковые)'!H9 &amp; "&lt;/price&gt;", "") &amp; CHAR(10) &amp; IF('Фид (легковые)'!I9&lt;&gt;"", "    &lt;currency&gt;" &amp; 'Фид (легковые)'!I9 &amp; "&lt;/currency&gt;", "") &amp; CHAR(10) &amp; IF('Фид (легковые)'!J9&lt;&gt;"", "    &lt;run&gt;" &amp; 'Фид (легковые)'!J9 &amp; "&lt;/run&gt;", "") &amp; CHAR(10) &amp; IF('Фид (легковые)'!K9&lt;&gt;"", "    &lt;vin&gt;" &amp; 'Фид (легковые)'!K9 &amp; "&lt;/vin&gt;", "") &amp; CHAR(10) &amp; IF('Фид (легковые)'!L9&lt;&gt;"", "    &lt;availability&gt;" &amp; 'Фид (легковые)'!L9 &amp; "&lt;/availability&gt;", "") &amp; CHAR(10) &amp; IF('Фид (легковые)'!M9&lt;&gt;"", "    &lt;custom&gt;" &amp; 'Фид (легковые)'!M9 &amp; "&lt;/custom&gt;", "") &amp; CHAR(10) &amp; IF('Фид (легковые)'!N9&lt;&gt;"", "    &lt;state&gt;" &amp; 'Фид (легковые)'!N9 &amp; "&lt;/state&gt;", "") &amp; CHAR(10) &amp; IF('Фид (легковые)'!O9&lt;&gt;"", "    &lt;owners_number&gt;" &amp; 'Фид (легковые)'!O9 &amp; "&lt;/owners_number&gt;", "") &amp; CHAR(10) &amp; IF('Фид (легковые)'!P9&lt;&gt;"", "    &lt;pts&gt;" &amp; 'Фид (легковые)'!P9 &amp; "&lt;/pts&gt;", "") &amp; CHAR(10) &amp; IF('Фид (легковые)'!Q9&lt;&gt;"", "    &lt;wheel&gt;" &amp; 'Фид (легковые)'!Q9 &amp; "&lt;/wheel&gt;", "") &amp; CHAR(10) &amp; IF('Фид (легковые)'!R9&lt;&gt;"", "    &lt;engine_type&gt;" &amp; 'Фид (легковые)'!R9 &amp; "&lt;/engine_type&gt;", "") &amp; CHAR(10) &amp; IF('Фид (легковые)'!S9&lt;&gt;"", "    &lt;drive&gt;" &amp; 'Фид (легковые)'!S9 &amp; "&lt;/drive&gt;", "") &amp; CHAR(10) &amp; IF('Фид (легковые)'!T9&lt;&gt;"", "    &lt;haggle&gt;" &amp; 'Фид (легковые)'!T9 &amp; "&lt;/haggle&gt;", "") &amp; CHAR(10) &amp; IF('Фид (легковые)'!U9&lt;&gt;"", "    &lt;exchange&gt;" &amp; 'Фид (легковые)'!U9 &amp; "&lt;/exchange&gt;", "") &amp; CHAR(10) &amp; IF('Фид (легковые)'!V9&lt;&gt;"", "    &lt;max_discount&gt;" &amp; 'Фид (легковые)'!V9 &amp; "&lt;/max_discount&gt;", "") &amp; CHAR(10) &amp; IF('Фид (легковые)'!W9&lt;&gt;"", "    &lt;description&gt;" &amp; SUBSTITUTE(SUBSTITUTE(SUBSTITUTE('Фид (легковые)'!W9,"&amp;","&amp;amp;"),"&lt;","&amp;lt;"),"&gt;","&amp;gt;") &amp; "&lt;/description&gt;", "") &amp; CHAR(10) &amp; IF('Фид (легковые)'!X9&lt;&gt;"", "    &lt;url&gt;" &amp; 'Фид (легковые)'!X9 &amp; "&lt;/url&gt;", "") &amp; CHAR(10) &amp; IF('Фид (легковые)'!Y9&lt;&gt;"", "    &lt;images&gt;&lt;image&gt;" &amp; SUBSTITUTE(SUBSTITUTE(SUBSTITUTE(SUBSTITUTE('Фид (легковые)'!Y9,"&amp;","&amp;amp;"),"&lt;","&amp;lt;"),"&gt;","&amp;gt;"),"|","&lt;/image&gt;&lt;image&gt;") &amp; "&lt;/image&gt;&lt;/images&gt;", "") &amp; CHAR(10) &amp; "  &lt;/car&gt;" &amp; CHAR(10), "")</f>
        <v/>
      </c>
    </row>
    <row r="10">
      <c r="C10" s="13" t="str">
        <f>IF('Фид (легковые)'!B10&lt;&gt;"", "  &lt;car&gt;" &amp; CHAR(10) &amp; IF('Фид (легковые)'!A10&lt;&gt;"", "    &lt;unique_id&gt;" &amp; 'Фид (легковые)'!A10 &amp; "&lt;/unique_id&gt;", "") &amp; CHAR(10) &amp; IF('Фид (легковые)'!B10&lt;&gt;"", "    &lt;mark_id&gt;" &amp; 'Фид (легковые)'!B10 &amp; "&lt;/mark_id&gt;", "") &amp; CHAR(10) &amp; IF('Фид (легковые)'!C10&lt;&gt;"", "    &lt;folder_id&gt;" &amp; 'Фид (легковые)'!C10 &amp; "&lt;/folder_id&gt;", "") &amp; CHAR(10) &amp; IF('Фид (легковые)'!D10&lt;&gt;"", "    &lt;modification_id&gt;" &amp; 'Фид (легковые)'!D10 &amp; "&lt;/modification_id&gt;", "") &amp; CHAR(10) &amp; IF('Фид (легковые)'!E10&lt;&gt;"", "    &lt;body_type&gt;" &amp; 'Фид (легковые)'!E10 &amp; "&lt;/body_type&gt;", "") &amp; CHAR(10) &amp; IF('Фид (легковые)'!F10&lt;&gt;"", "    &lt;year&gt;" &amp; 'Фид (легковые)'!F10 &amp; "&lt;/year&gt;", "") &amp; CHAR(10) &amp; IF('Фид (легковые)'!G10&lt;&gt;"", "    &lt;color&gt;" &amp; 'Фид (легковые)'!G10 &amp; "&lt;/color&gt;", "") &amp; CHAR(10) &amp; IF('Фид (легковые)'!H10&lt;&gt;"", "    &lt;price&gt;" &amp; 'Фид (легковые)'!H10 &amp; "&lt;/price&gt;", "") &amp; CHAR(10) &amp; IF('Фид (легковые)'!I10&lt;&gt;"", "    &lt;currency&gt;" &amp; 'Фид (легковые)'!I10 &amp; "&lt;/currency&gt;", "") &amp; CHAR(10) &amp; IF('Фид (легковые)'!J10&lt;&gt;"", "    &lt;run&gt;" &amp; 'Фид (легковые)'!J10 &amp; "&lt;/run&gt;", "") &amp; CHAR(10) &amp; IF('Фид (легковые)'!K10&lt;&gt;"", "    &lt;vin&gt;" &amp; 'Фид (легковые)'!K10 &amp; "&lt;/vin&gt;", "") &amp; CHAR(10) &amp; IF('Фид (легковые)'!L10&lt;&gt;"", "    &lt;availability&gt;" &amp; 'Фид (легковые)'!L10 &amp; "&lt;/availability&gt;", "") &amp; CHAR(10) &amp; IF('Фид (легковые)'!M10&lt;&gt;"", "    &lt;custom&gt;" &amp; 'Фид (легковые)'!M10 &amp; "&lt;/custom&gt;", "") &amp; CHAR(10) &amp; IF('Фид (легковые)'!N10&lt;&gt;"", "    &lt;state&gt;" &amp; 'Фид (легковые)'!N10 &amp; "&lt;/state&gt;", "") &amp; CHAR(10) &amp; IF('Фид (легковые)'!O10&lt;&gt;"", "    &lt;owners_number&gt;" &amp; 'Фид (легковые)'!O10 &amp; "&lt;/owners_number&gt;", "") &amp; CHAR(10) &amp; IF('Фид (легковые)'!P10&lt;&gt;"", "    &lt;pts&gt;" &amp; 'Фид (легковые)'!P10 &amp; "&lt;/pts&gt;", "") &amp; CHAR(10) &amp; IF('Фид (легковые)'!Q10&lt;&gt;"", "    &lt;wheel&gt;" &amp; 'Фид (легковые)'!Q10 &amp; "&lt;/wheel&gt;", "") &amp; CHAR(10) &amp; IF('Фид (легковые)'!R10&lt;&gt;"", "    &lt;engine_type&gt;" &amp; 'Фид (легковые)'!R10 &amp; "&lt;/engine_type&gt;", "") &amp; CHAR(10) &amp; IF('Фид (легковые)'!S10&lt;&gt;"", "    &lt;drive&gt;" &amp; 'Фид (легковые)'!S10 &amp; "&lt;/drive&gt;", "") &amp; CHAR(10) &amp; IF('Фид (легковые)'!T10&lt;&gt;"", "    &lt;haggle&gt;" &amp; 'Фид (легковые)'!T10 &amp; "&lt;/haggle&gt;", "") &amp; CHAR(10) &amp; IF('Фид (легковые)'!U10&lt;&gt;"", "    &lt;exchange&gt;" &amp; 'Фид (легковые)'!U10 &amp; "&lt;/exchange&gt;", "") &amp; CHAR(10) &amp; IF('Фид (легковые)'!V10&lt;&gt;"", "    &lt;max_discount&gt;" &amp; 'Фид (легковые)'!V10 &amp; "&lt;/max_discount&gt;", "") &amp; CHAR(10) &amp; IF('Фид (легковые)'!W10&lt;&gt;"", "    &lt;description&gt;" &amp; SUBSTITUTE(SUBSTITUTE(SUBSTITUTE('Фид (легковые)'!W10,"&amp;","&amp;amp;"),"&lt;","&amp;lt;"),"&gt;","&amp;gt;") &amp; "&lt;/description&gt;", "") &amp; CHAR(10) &amp; IF('Фид (легковые)'!X10&lt;&gt;"", "    &lt;url&gt;" &amp; 'Фид (легковые)'!X10 &amp; "&lt;/url&gt;", "") &amp; CHAR(10) &amp; IF('Фид (легковые)'!Y10&lt;&gt;"", "    &lt;images&gt;&lt;image&gt;" &amp; SUBSTITUTE(SUBSTITUTE(SUBSTITUTE(SUBSTITUTE('Фид (легковые)'!Y10,"&amp;","&amp;amp;"),"&lt;","&amp;lt;"),"&gt;","&amp;gt;"),"|","&lt;/image&gt;&lt;image&gt;") &amp; "&lt;/image&gt;&lt;/images&gt;", "") &amp; CHAR(10) &amp; "  &lt;/car&gt;" &amp; CHAR(10), "")</f>
        <v/>
      </c>
    </row>
    <row r="11">
      <c r="C11" s="13" t="str">
        <f>IF('Фид (легковые)'!B11&lt;&gt;"", "  &lt;car&gt;" &amp; CHAR(10) &amp; IF('Фид (легковые)'!A11&lt;&gt;"", "    &lt;unique_id&gt;" &amp; 'Фид (легковые)'!A11 &amp; "&lt;/unique_id&gt;", "") &amp; CHAR(10) &amp; IF('Фид (легковые)'!B11&lt;&gt;"", "    &lt;mark_id&gt;" &amp; 'Фид (легковые)'!B11 &amp; "&lt;/mark_id&gt;", "") &amp; CHAR(10) &amp; IF('Фид (легковые)'!C11&lt;&gt;"", "    &lt;folder_id&gt;" &amp; 'Фид (легковые)'!C11 &amp; "&lt;/folder_id&gt;", "") &amp; CHAR(10) &amp; IF('Фид (легковые)'!D11&lt;&gt;"", "    &lt;modification_id&gt;" &amp; 'Фид (легковые)'!D11 &amp; "&lt;/modification_id&gt;", "") &amp; CHAR(10) &amp; IF('Фид (легковые)'!E11&lt;&gt;"", "    &lt;body_type&gt;" &amp; 'Фид (легковые)'!E11 &amp; "&lt;/body_type&gt;", "") &amp; CHAR(10) &amp; IF('Фид (легковые)'!F11&lt;&gt;"", "    &lt;year&gt;" &amp; 'Фид (легковые)'!F11 &amp; "&lt;/year&gt;", "") &amp; CHAR(10) &amp; IF('Фид (легковые)'!G11&lt;&gt;"", "    &lt;color&gt;" &amp; 'Фид (легковые)'!G11 &amp; "&lt;/color&gt;", "") &amp; CHAR(10) &amp; IF('Фид (легковые)'!H11&lt;&gt;"", "    &lt;price&gt;" &amp; 'Фид (легковые)'!H11 &amp; "&lt;/price&gt;", "") &amp; CHAR(10) &amp; IF('Фид (легковые)'!I11&lt;&gt;"", "    &lt;currency&gt;" &amp; 'Фид (легковые)'!I11 &amp; "&lt;/currency&gt;", "") &amp; CHAR(10) &amp; IF('Фид (легковые)'!J11&lt;&gt;"", "    &lt;run&gt;" &amp; 'Фид (легковые)'!J11 &amp; "&lt;/run&gt;", "") &amp; CHAR(10) &amp; IF('Фид (легковые)'!K11&lt;&gt;"", "    &lt;vin&gt;" &amp; 'Фид (легковые)'!K11 &amp; "&lt;/vin&gt;", "") &amp; CHAR(10) &amp; IF('Фид (легковые)'!L11&lt;&gt;"", "    &lt;availability&gt;" &amp; 'Фид (легковые)'!L11 &amp; "&lt;/availability&gt;", "") &amp; CHAR(10) &amp; IF('Фид (легковые)'!M11&lt;&gt;"", "    &lt;custom&gt;" &amp; 'Фид (легковые)'!M11 &amp; "&lt;/custom&gt;", "") &amp; CHAR(10) &amp; IF('Фид (легковые)'!N11&lt;&gt;"", "    &lt;state&gt;" &amp; 'Фид (легковые)'!N11 &amp; "&lt;/state&gt;", "") &amp; CHAR(10) &amp; IF('Фид (легковые)'!O11&lt;&gt;"", "    &lt;owners_number&gt;" &amp; 'Фид (легковые)'!O11 &amp; "&lt;/owners_number&gt;", "") &amp; CHAR(10) &amp; IF('Фид (легковые)'!P11&lt;&gt;"", "    &lt;pts&gt;" &amp; 'Фид (легковые)'!P11 &amp; "&lt;/pts&gt;", "") &amp; CHAR(10) &amp; IF('Фид (легковые)'!Q11&lt;&gt;"", "    &lt;wheel&gt;" &amp; 'Фид (легковые)'!Q11 &amp; "&lt;/wheel&gt;", "") &amp; CHAR(10) &amp; IF('Фид (легковые)'!R11&lt;&gt;"", "    &lt;engine_type&gt;" &amp; 'Фид (легковые)'!R11 &amp; "&lt;/engine_type&gt;", "") &amp; CHAR(10) &amp; IF('Фид (легковые)'!S11&lt;&gt;"", "    &lt;drive&gt;" &amp; 'Фид (легковые)'!S11 &amp; "&lt;/drive&gt;", "") &amp; CHAR(10) &amp; IF('Фид (легковые)'!T11&lt;&gt;"", "    &lt;haggle&gt;" &amp; 'Фид (легковые)'!T11 &amp; "&lt;/haggle&gt;", "") &amp; CHAR(10) &amp; IF('Фид (легковые)'!U11&lt;&gt;"", "    &lt;exchange&gt;" &amp; 'Фид (легковые)'!U11 &amp; "&lt;/exchange&gt;", "") &amp; CHAR(10) &amp; IF('Фид (легковые)'!V11&lt;&gt;"", "    &lt;max_discount&gt;" &amp; 'Фид (легковые)'!V11 &amp; "&lt;/max_discount&gt;", "") &amp; CHAR(10) &amp; IF('Фид (легковые)'!W11&lt;&gt;"", "    &lt;description&gt;" &amp; SUBSTITUTE(SUBSTITUTE(SUBSTITUTE('Фид (легковые)'!W11,"&amp;","&amp;amp;"),"&lt;","&amp;lt;"),"&gt;","&amp;gt;") &amp; "&lt;/description&gt;", "") &amp; CHAR(10) &amp; IF('Фид (легковые)'!X11&lt;&gt;"", "    &lt;url&gt;" &amp; 'Фид (легковые)'!X11 &amp; "&lt;/url&gt;", "") &amp; CHAR(10) &amp; IF('Фид (легковые)'!Y11&lt;&gt;"", "    &lt;images&gt;&lt;image&gt;" &amp; SUBSTITUTE(SUBSTITUTE(SUBSTITUTE(SUBSTITUTE('Фид (легковые)'!Y11,"&amp;","&amp;amp;"),"&lt;","&amp;lt;"),"&gt;","&amp;gt;"),"|","&lt;/image&gt;&lt;image&gt;") &amp; "&lt;/image&gt;&lt;/images&gt;", "") &amp; CHAR(10) &amp; "  &lt;/car&gt;" &amp; CHAR(10), "")</f>
        <v/>
      </c>
    </row>
    <row r="12">
      <c r="C12" s="13" t="str">
        <f>IF('Фид (легковые)'!B12&lt;&gt;"", "  &lt;car&gt;" &amp; CHAR(10) &amp; IF('Фид (легковые)'!A12&lt;&gt;"", "    &lt;unique_id&gt;" &amp; 'Фид (легковые)'!A12 &amp; "&lt;/unique_id&gt;", "") &amp; CHAR(10) &amp; IF('Фид (легковые)'!B12&lt;&gt;"", "    &lt;mark_id&gt;" &amp; 'Фид (легковые)'!B12 &amp; "&lt;/mark_id&gt;", "") &amp; CHAR(10) &amp; IF('Фид (легковые)'!C12&lt;&gt;"", "    &lt;folder_id&gt;" &amp; 'Фид (легковые)'!C12 &amp; "&lt;/folder_id&gt;", "") &amp; CHAR(10) &amp; IF('Фид (легковые)'!D12&lt;&gt;"", "    &lt;modification_id&gt;" &amp; 'Фид (легковые)'!D12 &amp; "&lt;/modification_id&gt;", "") &amp; CHAR(10) &amp; IF('Фид (легковые)'!E12&lt;&gt;"", "    &lt;body_type&gt;" &amp; 'Фид (легковые)'!E12 &amp; "&lt;/body_type&gt;", "") &amp; CHAR(10) &amp; IF('Фид (легковые)'!F12&lt;&gt;"", "    &lt;year&gt;" &amp; 'Фид (легковые)'!F12 &amp; "&lt;/year&gt;", "") &amp; CHAR(10) &amp; IF('Фид (легковые)'!G12&lt;&gt;"", "    &lt;color&gt;" &amp; 'Фид (легковые)'!G12 &amp; "&lt;/color&gt;", "") &amp; CHAR(10) &amp; IF('Фид (легковые)'!H12&lt;&gt;"", "    &lt;price&gt;" &amp; 'Фид (легковые)'!H12 &amp; "&lt;/price&gt;", "") &amp; CHAR(10) &amp; IF('Фид (легковые)'!I12&lt;&gt;"", "    &lt;currency&gt;" &amp; 'Фид (легковые)'!I12 &amp; "&lt;/currency&gt;", "") &amp; CHAR(10) &amp; IF('Фид (легковые)'!J12&lt;&gt;"", "    &lt;run&gt;" &amp; 'Фид (легковые)'!J12 &amp; "&lt;/run&gt;", "") &amp; CHAR(10) &amp; IF('Фид (легковые)'!K12&lt;&gt;"", "    &lt;vin&gt;" &amp; 'Фид (легковые)'!K12 &amp; "&lt;/vin&gt;", "") &amp; CHAR(10) &amp; IF('Фид (легковые)'!L12&lt;&gt;"", "    &lt;availability&gt;" &amp; 'Фид (легковые)'!L12 &amp; "&lt;/availability&gt;", "") &amp; CHAR(10) &amp; IF('Фид (легковые)'!M12&lt;&gt;"", "    &lt;custom&gt;" &amp; 'Фид (легковые)'!M12 &amp; "&lt;/custom&gt;", "") &amp; CHAR(10) &amp; IF('Фид (легковые)'!N12&lt;&gt;"", "    &lt;state&gt;" &amp; 'Фид (легковые)'!N12 &amp; "&lt;/state&gt;", "") &amp; CHAR(10) &amp; IF('Фид (легковые)'!O12&lt;&gt;"", "    &lt;owners_number&gt;" &amp; 'Фид (легковые)'!O12 &amp; "&lt;/owners_number&gt;", "") &amp; CHAR(10) &amp; IF('Фид (легковые)'!P12&lt;&gt;"", "    &lt;pts&gt;" &amp; 'Фид (легковые)'!P12 &amp; "&lt;/pts&gt;", "") &amp; CHAR(10) &amp; IF('Фид (легковые)'!Q12&lt;&gt;"", "    &lt;wheel&gt;" &amp; 'Фид (легковые)'!Q12 &amp; "&lt;/wheel&gt;", "") &amp; CHAR(10) &amp; IF('Фид (легковые)'!R12&lt;&gt;"", "    &lt;engine_type&gt;" &amp; 'Фид (легковые)'!R12 &amp; "&lt;/engine_type&gt;", "") &amp; CHAR(10) &amp; IF('Фид (легковые)'!S12&lt;&gt;"", "    &lt;drive&gt;" &amp; 'Фид (легковые)'!S12 &amp; "&lt;/drive&gt;", "") &amp; CHAR(10) &amp; IF('Фид (легковые)'!T12&lt;&gt;"", "    &lt;haggle&gt;" &amp; 'Фид (легковые)'!T12 &amp; "&lt;/haggle&gt;", "") &amp; CHAR(10) &amp; IF('Фид (легковые)'!U12&lt;&gt;"", "    &lt;exchange&gt;" &amp; 'Фид (легковые)'!U12 &amp; "&lt;/exchange&gt;", "") &amp; CHAR(10) &amp; IF('Фид (легковые)'!V12&lt;&gt;"", "    &lt;max_discount&gt;" &amp; 'Фид (легковые)'!V12 &amp; "&lt;/max_discount&gt;", "") &amp; CHAR(10) &amp; IF('Фид (легковые)'!W12&lt;&gt;"", "    &lt;description&gt;" &amp; SUBSTITUTE(SUBSTITUTE(SUBSTITUTE('Фид (легковые)'!W12,"&amp;","&amp;amp;"),"&lt;","&amp;lt;"),"&gt;","&amp;gt;") &amp; "&lt;/description&gt;", "") &amp; CHAR(10) &amp; IF('Фид (легковые)'!X12&lt;&gt;"", "    &lt;url&gt;" &amp; 'Фид (легковые)'!X12 &amp; "&lt;/url&gt;", "") &amp; CHAR(10) &amp; IF('Фид (легковые)'!Y12&lt;&gt;"", "    &lt;images&gt;&lt;image&gt;" &amp; SUBSTITUTE(SUBSTITUTE(SUBSTITUTE(SUBSTITUTE('Фид (легковые)'!Y12,"&amp;","&amp;amp;"),"&lt;","&amp;lt;"),"&gt;","&amp;gt;"),"|","&lt;/image&gt;&lt;image&gt;") &amp; "&lt;/image&gt;&lt;/images&gt;", "") &amp; CHAR(10) &amp; "  &lt;/car&gt;" &amp; CHAR(10), "")</f>
        <v/>
      </c>
    </row>
    <row r="13">
      <c r="C13" s="13" t="str">
        <f>IF('Фид (легковые)'!B13&lt;&gt;"", "  &lt;car&gt;" &amp; CHAR(10) &amp; IF('Фид (легковые)'!A13&lt;&gt;"", "    &lt;unique_id&gt;" &amp; 'Фид (легковые)'!A13 &amp; "&lt;/unique_id&gt;", "") &amp; CHAR(10) &amp; IF('Фид (легковые)'!B13&lt;&gt;"", "    &lt;mark_id&gt;" &amp; 'Фид (легковые)'!B13 &amp; "&lt;/mark_id&gt;", "") &amp; CHAR(10) &amp; IF('Фид (легковые)'!C13&lt;&gt;"", "    &lt;folder_id&gt;" &amp; 'Фид (легковые)'!C13 &amp; "&lt;/folder_id&gt;", "") &amp; CHAR(10) &amp; IF('Фид (легковые)'!D13&lt;&gt;"", "    &lt;modification_id&gt;" &amp; 'Фид (легковые)'!D13 &amp; "&lt;/modification_id&gt;", "") &amp; CHAR(10) &amp; IF('Фид (легковые)'!E13&lt;&gt;"", "    &lt;body_type&gt;" &amp; 'Фид (легковые)'!E13 &amp; "&lt;/body_type&gt;", "") &amp; CHAR(10) &amp; IF('Фид (легковые)'!F13&lt;&gt;"", "    &lt;year&gt;" &amp; 'Фид (легковые)'!F13 &amp; "&lt;/year&gt;", "") &amp; CHAR(10) &amp; IF('Фид (легковые)'!G13&lt;&gt;"", "    &lt;color&gt;" &amp; 'Фид (легковые)'!G13 &amp; "&lt;/color&gt;", "") &amp; CHAR(10) &amp; IF('Фид (легковые)'!H13&lt;&gt;"", "    &lt;price&gt;" &amp; 'Фид (легковые)'!H13 &amp; "&lt;/price&gt;", "") &amp; CHAR(10) &amp; IF('Фид (легковые)'!I13&lt;&gt;"", "    &lt;currency&gt;" &amp; 'Фид (легковые)'!I13 &amp; "&lt;/currency&gt;", "") &amp; CHAR(10) &amp; IF('Фид (легковые)'!J13&lt;&gt;"", "    &lt;run&gt;" &amp; 'Фид (легковые)'!J13 &amp; "&lt;/run&gt;", "") &amp; CHAR(10) &amp; IF('Фид (легковые)'!K13&lt;&gt;"", "    &lt;vin&gt;" &amp; 'Фид (легковые)'!K13 &amp; "&lt;/vin&gt;", "") &amp; CHAR(10) &amp; IF('Фид (легковые)'!L13&lt;&gt;"", "    &lt;availability&gt;" &amp; 'Фид (легковые)'!L13 &amp; "&lt;/availability&gt;", "") &amp; CHAR(10) &amp; IF('Фид (легковые)'!M13&lt;&gt;"", "    &lt;custom&gt;" &amp; 'Фид (легковые)'!M13 &amp; "&lt;/custom&gt;", "") &amp; CHAR(10) &amp; IF('Фид (легковые)'!N13&lt;&gt;"", "    &lt;state&gt;" &amp; 'Фид (легковые)'!N13 &amp; "&lt;/state&gt;", "") &amp; CHAR(10) &amp; IF('Фид (легковые)'!O13&lt;&gt;"", "    &lt;owners_number&gt;" &amp; 'Фид (легковые)'!O13 &amp; "&lt;/owners_number&gt;", "") &amp; CHAR(10) &amp; IF('Фид (легковые)'!P13&lt;&gt;"", "    &lt;pts&gt;" &amp; 'Фид (легковые)'!P13 &amp; "&lt;/pts&gt;", "") &amp; CHAR(10) &amp; IF('Фид (легковые)'!Q13&lt;&gt;"", "    &lt;wheel&gt;" &amp; 'Фид (легковые)'!Q13 &amp; "&lt;/wheel&gt;", "") &amp; CHAR(10) &amp; IF('Фид (легковые)'!R13&lt;&gt;"", "    &lt;engine_type&gt;" &amp; 'Фид (легковые)'!R13 &amp; "&lt;/engine_type&gt;", "") &amp; CHAR(10) &amp; IF('Фид (легковые)'!S13&lt;&gt;"", "    &lt;drive&gt;" &amp; 'Фид (легковые)'!S13 &amp; "&lt;/drive&gt;", "") &amp; CHAR(10) &amp; IF('Фид (легковые)'!T13&lt;&gt;"", "    &lt;haggle&gt;" &amp; 'Фид (легковые)'!T13 &amp; "&lt;/haggle&gt;", "") &amp; CHAR(10) &amp; IF('Фид (легковые)'!U13&lt;&gt;"", "    &lt;exchange&gt;" &amp; 'Фид (легковые)'!U13 &amp; "&lt;/exchange&gt;", "") &amp; CHAR(10) &amp; IF('Фид (легковые)'!V13&lt;&gt;"", "    &lt;max_discount&gt;" &amp; 'Фид (легковые)'!V13 &amp; "&lt;/max_discount&gt;", "") &amp; CHAR(10) &amp; IF('Фид (легковые)'!W13&lt;&gt;"", "    &lt;description&gt;" &amp; SUBSTITUTE(SUBSTITUTE(SUBSTITUTE('Фид (легковые)'!W13,"&amp;","&amp;amp;"),"&lt;","&amp;lt;"),"&gt;","&amp;gt;") &amp; "&lt;/description&gt;", "") &amp; CHAR(10) &amp; IF('Фид (легковые)'!X13&lt;&gt;"", "    &lt;url&gt;" &amp; 'Фид (легковые)'!X13 &amp; "&lt;/url&gt;", "") &amp; CHAR(10) &amp; IF('Фид (легковые)'!Y13&lt;&gt;"", "    &lt;images&gt;&lt;image&gt;" &amp; SUBSTITUTE(SUBSTITUTE(SUBSTITUTE(SUBSTITUTE('Фид (легковые)'!Y13,"&amp;","&amp;amp;"),"&lt;","&amp;lt;"),"&gt;","&amp;gt;"),"|","&lt;/image&gt;&lt;image&gt;") &amp; "&lt;/image&gt;&lt;/images&gt;", "") &amp; CHAR(10) &amp; "  &lt;/car&gt;" &amp; CHAR(10), "")</f>
        <v/>
      </c>
    </row>
    <row r="14">
      <c r="C14" s="13" t="str">
        <f>IF('Фид (легковые)'!B14&lt;&gt;"", "  &lt;car&gt;" &amp; CHAR(10) &amp; IF('Фид (легковые)'!A14&lt;&gt;"", "    &lt;unique_id&gt;" &amp; 'Фид (легковые)'!A14 &amp; "&lt;/unique_id&gt;", "") &amp; CHAR(10) &amp; IF('Фид (легковые)'!B14&lt;&gt;"", "    &lt;mark_id&gt;" &amp; 'Фид (легковые)'!B14 &amp; "&lt;/mark_id&gt;", "") &amp; CHAR(10) &amp; IF('Фид (легковые)'!C14&lt;&gt;"", "    &lt;folder_id&gt;" &amp; 'Фид (легковые)'!C14 &amp; "&lt;/folder_id&gt;", "") &amp; CHAR(10) &amp; IF('Фид (легковые)'!D14&lt;&gt;"", "    &lt;modification_id&gt;" &amp; 'Фид (легковые)'!D14 &amp; "&lt;/modification_id&gt;", "") &amp; CHAR(10) &amp; IF('Фид (легковые)'!E14&lt;&gt;"", "    &lt;body_type&gt;" &amp; 'Фид (легковые)'!E14 &amp; "&lt;/body_type&gt;", "") &amp; CHAR(10) &amp; IF('Фид (легковые)'!F14&lt;&gt;"", "    &lt;year&gt;" &amp; 'Фид (легковые)'!F14 &amp; "&lt;/year&gt;", "") &amp; CHAR(10) &amp; IF('Фид (легковые)'!G14&lt;&gt;"", "    &lt;color&gt;" &amp; 'Фид (легковые)'!G14 &amp; "&lt;/color&gt;", "") &amp; CHAR(10) &amp; IF('Фид (легковые)'!H14&lt;&gt;"", "    &lt;price&gt;" &amp; 'Фид (легковые)'!H14 &amp; "&lt;/price&gt;", "") &amp; CHAR(10) &amp; IF('Фид (легковые)'!I14&lt;&gt;"", "    &lt;currency&gt;" &amp; 'Фид (легковые)'!I14 &amp; "&lt;/currency&gt;", "") &amp; CHAR(10) &amp; IF('Фид (легковые)'!J14&lt;&gt;"", "    &lt;run&gt;" &amp; 'Фид (легковые)'!J14 &amp; "&lt;/run&gt;", "") &amp; CHAR(10) &amp; IF('Фид (легковые)'!K14&lt;&gt;"", "    &lt;vin&gt;" &amp; 'Фид (легковые)'!K14 &amp; "&lt;/vin&gt;", "") &amp; CHAR(10) &amp; IF('Фид (легковые)'!L14&lt;&gt;"", "    &lt;availability&gt;" &amp; 'Фид (легковые)'!L14 &amp; "&lt;/availability&gt;", "") &amp; CHAR(10) &amp; IF('Фид (легковые)'!M14&lt;&gt;"", "    &lt;custom&gt;" &amp; 'Фид (легковые)'!M14 &amp; "&lt;/custom&gt;", "") &amp; CHAR(10) &amp; IF('Фид (легковые)'!N14&lt;&gt;"", "    &lt;state&gt;" &amp; 'Фид (легковые)'!N14 &amp; "&lt;/state&gt;", "") &amp; CHAR(10) &amp; IF('Фид (легковые)'!O14&lt;&gt;"", "    &lt;owners_number&gt;" &amp; 'Фид (легковые)'!O14 &amp; "&lt;/owners_number&gt;", "") &amp; CHAR(10) &amp; IF('Фид (легковые)'!P14&lt;&gt;"", "    &lt;pts&gt;" &amp; 'Фид (легковые)'!P14 &amp; "&lt;/pts&gt;", "") &amp; CHAR(10) &amp; IF('Фид (легковые)'!Q14&lt;&gt;"", "    &lt;wheel&gt;" &amp; 'Фид (легковые)'!Q14 &amp; "&lt;/wheel&gt;", "") &amp; CHAR(10) &amp; IF('Фид (легковые)'!R14&lt;&gt;"", "    &lt;engine_type&gt;" &amp; 'Фид (легковые)'!R14 &amp; "&lt;/engine_type&gt;", "") &amp; CHAR(10) &amp; IF('Фид (легковые)'!S14&lt;&gt;"", "    &lt;drive&gt;" &amp; 'Фид (легковые)'!S14 &amp; "&lt;/drive&gt;", "") &amp; CHAR(10) &amp; IF('Фид (легковые)'!T14&lt;&gt;"", "    &lt;haggle&gt;" &amp; 'Фид (легковые)'!T14 &amp; "&lt;/haggle&gt;", "") &amp; CHAR(10) &amp; IF('Фид (легковые)'!U14&lt;&gt;"", "    &lt;exchange&gt;" &amp; 'Фид (легковые)'!U14 &amp; "&lt;/exchange&gt;", "") &amp; CHAR(10) &amp; IF('Фид (легковые)'!V14&lt;&gt;"", "    &lt;max_discount&gt;" &amp; 'Фид (легковые)'!V14 &amp; "&lt;/max_discount&gt;", "") &amp; CHAR(10) &amp; IF('Фид (легковые)'!W14&lt;&gt;"", "    &lt;description&gt;" &amp; SUBSTITUTE(SUBSTITUTE(SUBSTITUTE('Фид (легковые)'!W14,"&amp;","&amp;amp;"),"&lt;","&amp;lt;"),"&gt;","&amp;gt;") &amp; "&lt;/description&gt;", "") &amp; CHAR(10) &amp; IF('Фид (легковые)'!X14&lt;&gt;"", "    &lt;url&gt;" &amp; 'Фид (легковые)'!X14 &amp; "&lt;/url&gt;", "") &amp; CHAR(10) &amp; IF('Фид (легковые)'!Y14&lt;&gt;"", "    &lt;images&gt;&lt;image&gt;" &amp; SUBSTITUTE(SUBSTITUTE(SUBSTITUTE(SUBSTITUTE('Фид (легковые)'!Y14,"&amp;","&amp;amp;"),"&lt;","&amp;lt;"),"&gt;","&amp;gt;"),"|","&lt;/image&gt;&lt;image&gt;") &amp; "&lt;/image&gt;&lt;/images&gt;", "") &amp; CHAR(10) &amp; "  &lt;/car&gt;" &amp; CHAR(10), "")</f>
        <v/>
      </c>
    </row>
    <row r="15">
      <c r="C15" s="13" t="str">
        <f>IF('Фид (легковые)'!B15&lt;&gt;"", "  &lt;car&gt;" &amp; CHAR(10) &amp; IF('Фид (легковые)'!A15&lt;&gt;"", "    &lt;unique_id&gt;" &amp; 'Фид (легковые)'!A15 &amp; "&lt;/unique_id&gt;", "") &amp; CHAR(10) &amp; IF('Фид (легковые)'!B15&lt;&gt;"", "    &lt;mark_id&gt;" &amp; 'Фид (легковые)'!B15 &amp; "&lt;/mark_id&gt;", "") &amp; CHAR(10) &amp; IF('Фид (легковые)'!C15&lt;&gt;"", "    &lt;folder_id&gt;" &amp; 'Фид (легковые)'!C15 &amp; "&lt;/folder_id&gt;", "") &amp; CHAR(10) &amp; IF('Фид (легковые)'!D15&lt;&gt;"", "    &lt;modification_id&gt;" &amp; 'Фид (легковые)'!D15 &amp; "&lt;/modification_id&gt;", "") &amp; CHAR(10) &amp; IF('Фид (легковые)'!E15&lt;&gt;"", "    &lt;body_type&gt;" &amp; 'Фид (легковые)'!E15 &amp; "&lt;/body_type&gt;", "") &amp; CHAR(10) &amp; IF('Фид (легковые)'!F15&lt;&gt;"", "    &lt;year&gt;" &amp; 'Фид (легковые)'!F15 &amp; "&lt;/year&gt;", "") &amp; CHAR(10) &amp; IF('Фид (легковые)'!G15&lt;&gt;"", "    &lt;color&gt;" &amp; 'Фид (легковые)'!G15 &amp; "&lt;/color&gt;", "") &amp; CHAR(10) &amp; IF('Фид (легковые)'!H15&lt;&gt;"", "    &lt;price&gt;" &amp; 'Фид (легковые)'!H15 &amp; "&lt;/price&gt;", "") &amp; CHAR(10) &amp; IF('Фид (легковые)'!I15&lt;&gt;"", "    &lt;currency&gt;" &amp; 'Фид (легковые)'!I15 &amp; "&lt;/currency&gt;", "") &amp; CHAR(10) &amp; IF('Фид (легковые)'!J15&lt;&gt;"", "    &lt;run&gt;" &amp; 'Фид (легковые)'!J15 &amp; "&lt;/run&gt;", "") &amp; CHAR(10) &amp; IF('Фид (легковые)'!K15&lt;&gt;"", "    &lt;vin&gt;" &amp; 'Фид (легковые)'!K15 &amp; "&lt;/vin&gt;", "") &amp; CHAR(10) &amp; IF('Фид (легковые)'!L15&lt;&gt;"", "    &lt;availability&gt;" &amp; 'Фид (легковые)'!L15 &amp; "&lt;/availability&gt;", "") &amp; CHAR(10) &amp; IF('Фид (легковые)'!M15&lt;&gt;"", "    &lt;custom&gt;" &amp; 'Фид (легковые)'!M15 &amp; "&lt;/custom&gt;", "") &amp; CHAR(10) &amp; IF('Фид (легковые)'!N15&lt;&gt;"", "    &lt;state&gt;" &amp; 'Фид (легковые)'!N15 &amp; "&lt;/state&gt;", "") &amp; CHAR(10) &amp; IF('Фид (легковые)'!O15&lt;&gt;"", "    &lt;owners_number&gt;" &amp; 'Фид (легковые)'!O15 &amp; "&lt;/owners_number&gt;", "") &amp; CHAR(10) &amp; IF('Фид (легковые)'!P15&lt;&gt;"", "    &lt;pts&gt;" &amp; 'Фид (легковые)'!P15 &amp; "&lt;/pts&gt;", "") &amp; CHAR(10) &amp; IF('Фид (легковые)'!Q15&lt;&gt;"", "    &lt;wheel&gt;" &amp; 'Фид (легковые)'!Q15 &amp; "&lt;/wheel&gt;", "") &amp; CHAR(10) &amp; IF('Фид (легковые)'!R15&lt;&gt;"", "    &lt;engine_type&gt;" &amp; 'Фид (легковые)'!R15 &amp; "&lt;/engine_type&gt;", "") &amp; CHAR(10) &amp; IF('Фид (легковые)'!S15&lt;&gt;"", "    &lt;drive&gt;" &amp; 'Фид (легковые)'!S15 &amp; "&lt;/drive&gt;", "") &amp; CHAR(10) &amp; IF('Фид (легковые)'!T15&lt;&gt;"", "    &lt;haggle&gt;" &amp; 'Фид (легковые)'!T15 &amp; "&lt;/haggle&gt;", "") &amp; CHAR(10) &amp; IF('Фид (легковые)'!U15&lt;&gt;"", "    &lt;exchange&gt;" &amp; 'Фид (легковые)'!U15 &amp; "&lt;/exchange&gt;", "") &amp; CHAR(10) &amp; IF('Фид (легковые)'!V15&lt;&gt;"", "    &lt;max_discount&gt;" &amp; 'Фид (легковые)'!V15 &amp; "&lt;/max_discount&gt;", "") &amp; CHAR(10) &amp; IF('Фид (легковые)'!W15&lt;&gt;"", "    &lt;description&gt;" &amp; SUBSTITUTE(SUBSTITUTE(SUBSTITUTE('Фид (легковые)'!W15,"&amp;","&amp;amp;"),"&lt;","&amp;lt;"),"&gt;","&amp;gt;") &amp; "&lt;/description&gt;", "") &amp; CHAR(10) &amp; IF('Фид (легковые)'!X15&lt;&gt;"", "    &lt;url&gt;" &amp; 'Фид (легковые)'!X15 &amp; "&lt;/url&gt;", "") &amp; CHAR(10) &amp; IF('Фид (легковые)'!Y15&lt;&gt;"", "    &lt;images&gt;&lt;image&gt;" &amp; SUBSTITUTE(SUBSTITUTE(SUBSTITUTE(SUBSTITUTE('Фид (легковые)'!Y15,"&amp;","&amp;amp;"),"&lt;","&amp;lt;"),"&gt;","&amp;gt;"),"|","&lt;/image&gt;&lt;image&gt;") &amp; "&lt;/image&gt;&lt;/images&gt;", "") &amp; CHAR(10) &amp; "  &lt;/car&gt;" &amp; CHAR(10), "")</f>
        <v/>
      </c>
    </row>
    <row r="16">
      <c r="C16" s="13" t="str">
        <f>IF('Фид (легковые)'!B16&lt;&gt;"", "  &lt;car&gt;" &amp; CHAR(10) &amp; IF('Фид (легковые)'!A16&lt;&gt;"", "    &lt;unique_id&gt;" &amp; 'Фид (легковые)'!A16 &amp; "&lt;/unique_id&gt;", "") &amp; CHAR(10) &amp; IF('Фид (легковые)'!B16&lt;&gt;"", "    &lt;mark_id&gt;" &amp; 'Фид (легковые)'!B16 &amp; "&lt;/mark_id&gt;", "") &amp; CHAR(10) &amp; IF('Фид (легковые)'!C16&lt;&gt;"", "    &lt;folder_id&gt;" &amp; 'Фид (легковые)'!C16 &amp; "&lt;/folder_id&gt;", "") &amp; CHAR(10) &amp; IF('Фид (легковые)'!D16&lt;&gt;"", "    &lt;modification_id&gt;" &amp; 'Фид (легковые)'!D16 &amp; "&lt;/modification_id&gt;", "") &amp; CHAR(10) &amp; IF('Фид (легковые)'!E16&lt;&gt;"", "    &lt;body_type&gt;" &amp; 'Фид (легковые)'!E16 &amp; "&lt;/body_type&gt;", "") &amp; CHAR(10) &amp; IF('Фид (легковые)'!F16&lt;&gt;"", "    &lt;year&gt;" &amp; 'Фид (легковые)'!F16 &amp; "&lt;/year&gt;", "") &amp; CHAR(10) &amp; IF('Фид (легковые)'!G16&lt;&gt;"", "    &lt;color&gt;" &amp; 'Фид (легковые)'!G16 &amp; "&lt;/color&gt;", "") &amp; CHAR(10) &amp; IF('Фид (легковые)'!H16&lt;&gt;"", "    &lt;price&gt;" &amp; 'Фид (легковые)'!H16 &amp; "&lt;/price&gt;", "") &amp; CHAR(10) &amp; IF('Фид (легковые)'!I16&lt;&gt;"", "    &lt;currency&gt;" &amp; 'Фид (легковые)'!I16 &amp; "&lt;/currency&gt;", "") &amp; CHAR(10) &amp; IF('Фид (легковые)'!J16&lt;&gt;"", "    &lt;run&gt;" &amp; 'Фид (легковые)'!J16 &amp; "&lt;/run&gt;", "") &amp; CHAR(10) &amp; IF('Фид (легковые)'!K16&lt;&gt;"", "    &lt;vin&gt;" &amp; 'Фид (легковые)'!K16 &amp; "&lt;/vin&gt;", "") &amp; CHAR(10) &amp; IF('Фид (легковые)'!L16&lt;&gt;"", "    &lt;availability&gt;" &amp; 'Фид (легковые)'!L16 &amp; "&lt;/availability&gt;", "") &amp; CHAR(10) &amp; IF('Фид (легковые)'!M16&lt;&gt;"", "    &lt;custom&gt;" &amp; 'Фид (легковые)'!M16 &amp; "&lt;/custom&gt;", "") &amp; CHAR(10) &amp; IF('Фид (легковые)'!N16&lt;&gt;"", "    &lt;state&gt;" &amp; 'Фид (легковые)'!N16 &amp; "&lt;/state&gt;", "") &amp; CHAR(10) &amp; IF('Фид (легковые)'!O16&lt;&gt;"", "    &lt;owners_number&gt;" &amp; 'Фид (легковые)'!O16 &amp; "&lt;/owners_number&gt;", "") &amp; CHAR(10) &amp; IF('Фид (легковые)'!P16&lt;&gt;"", "    &lt;pts&gt;" &amp; 'Фид (легковые)'!P16 &amp; "&lt;/pts&gt;", "") &amp; CHAR(10) &amp; IF('Фид (легковые)'!Q16&lt;&gt;"", "    &lt;wheel&gt;" &amp; 'Фид (легковые)'!Q16 &amp; "&lt;/wheel&gt;", "") &amp; CHAR(10) &amp; IF('Фид (легковые)'!R16&lt;&gt;"", "    &lt;engine_type&gt;" &amp; 'Фид (легковые)'!R16 &amp; "&lt;/engine_type&gt;", "") &amp; CHAR(10) &amp; IF('Фид (легковые)'!S16&lt;&gt;"", "    &lt;drive&gt;" &amp; 'Фид (легковые)'!S16 &amp; "&lt;/drive&gt;", "") &amp; CHAR(10) &amp; IF('Фид (легковые)'!T16&lt;&gt;"", "    &lt;haggle&gt;" &amp; 'Фид (легковые)'!T16 &amp; "&lt;/haggle&gt;", "") &amp; CHAR(10) &amp; IF('Фид (легковые)'!U16&lt;&gt;"", "    &lt;exchange&gt;" &amp; 'Фид (легковые)'!U16 &amp; "&lt;/exchange&gt;", "") &amp; CHAR(10) &amp; IF('Фид (легковые)'!V16&lt;&gt;"", "    &lt;max_discount&gt;" &amp; 'Фид (легковые)'!V16 &amp; "&lt;/max_discount&gt;", "") &amp; CHAR(10) &amp; IF('Фид (легковые)'!W16&lt;&gt;"", "    &lt;description&gt;" &amp; SUBSTITUTE(SUBSTITUTE(SUBSTITUTE('Фид (легковые)'!W16,"&amp;","&amp;amp;"),"&lt;","&amp;lt;"),"&gt;","&amp;gt;") &amp; "&lt;/description&gt;", "") &amp; CHAR(10) &amp; IF('Фид (легковые)'!X16&lt;&gt;"", "    &lt;url&gt;" &amp; 'Фид (легковые)'!X16 &amp; "&lt;/url&gt;", "") &amp; CHAR(10) &amp; IF('Фид (легковые)'!Y16&lt;&gt;"", "    &lt;images&gt;&lt;image&gt;" &amp; SUBSTITUTE(SUBSTITUTE(SUBSTITUTE(SUBSTITUTE('Фид (легковые)'!Y16,"&amp;","&amp;amp;"),"&lt;","&amp;lt;"),"&gt;","&amp;gt;"),"|","&lt;/image&gt;&lt;image&gt;") &amp; "&lt;/image&gt;&lt;/images&gt;", "") &amp; CHAR(10) &amp; "  &lt;/car&gt;" &amp; CHAR(10), "")</f>
        <v/>
      </c>
    </row>
    <row r="17">
      <c r="C17" s="13" t="str">
        <f>IF('Фид (легковые)'!B17&lt;&gt;"", "  &lt;car&gt;" &amp; CHAR(10) &amp; IF('Фид (легковые)'!A17&lt;&gt;"", "    &lt;unique_id&gt;" &amp; 'Фид (легковые)'!A17 &amp; "&lt;/unique_id&gt;", "") &amp; CHAR(10) &amp; IF('Фид (легковые)'!B17&lt;&gt;"", "    &lt;mark_id&gt;" &amp; 'Фид (легковые)'!B17 &amp; "&lt;/mark_id&gt;", "") &amp; CHAR(10) &amp; IF('Фид (легковые)'!C17&lt;&gt;"", "    &lt;folder_id&gt;" &amp; 'Фид (легковые)'!C17 &amp; "&lt;/folder_id&gt;", "") &amp; CHAR(10) &amp; IF('Фид (легковые)'!D17&lt;&gt;"", "    &lt;modification_id&gt;" &amp; 'Фид (легковые)'!D17 &amp; "&lt;/modification_id&gt;", "") &amp; CHAR(10) &amp; IF('Фид (легковые)'!E17&lt;&gt;"", "    &lt;body_type&gt;" &amp; 'Фид (легковые)'!E17 &amp; "&lt;/body_type&gt;", "") &amp; CHAR(10) &amp; IF('Фид (легковые)'!F17&lt;&gt;"", "    &lt;year&gt;" &amp; 'Фид (легковые)'!F17 &amp; "&lt;/year&gt;", "") &amp; CHAR(10) &amp; IF('Фид (легковые)'!G17&lt;&gt;"", "    &lt;color&gt;" &amp; 'Фид (легковые)'!G17 &amp; "&lt;/color&gt;", "") &amp; CHAR(10) &amp; IF('Фид (легковые)'!H17&lt;&gt;"", "    &lt;price&gt;" &amp; 'Фид (легковые)'!H17 &amp; "&lt;/price&gt;", "") &amp; CHAR(10) &amp; IF('Фид (легковые)'!I17&lt;&gt;"", "    &lt;currency&gt;" &amp; 'Фид (легковые)'!I17 &amp; "&lt;/currency&gt;", "") &amp; CHAR(10) &amp; IF('Фид (легковые)'!J17&lt;&gt;"", "    &lt;run&gt;" &amp; 'Фид (легковые)'!J17 &amp; "&lt;/run&gt;", "") &amp; CHAR(10) &amp; IF('Фид (легковые)'!K17&lt;&gt;"", "    &lt;vin&gt;" &amp; 'Фид (легковые)'!K17 &amp; "&lt;/vin&gt;", "") &amp; CHAR(10) &amp; IF('Фид (легковые)'!L17&lt;&gt;"", "    &lt;availability&gt;" &amp; 'Фид (легковые)'!L17 &amp; "&lt;/availability&gt;", "") &amp; CHAR(10) &amp; IF('Фид (легковые)'!M17&lt;&gt;"", "    &lt;custom&gt;" &amp; 'Фид (легковые)'!M17 &amp; "&lt;/custom&gt;", "") &amp; CHAR(10) &amp; IF('Фид (легковые)'!N17&lt;&gt;"", "    &lt;state&gt;" &amp; 'Фид (легковые)'!N17 &amp; "&lt;/state&gt;", "") &amp; CHAR(10) &amp; IF('Фид (легковые)'!O17&lt;&gt;"", "    &lt;owners_number&gt;" &amp; 'Фид (легковые)'!O17 &amp; "&lt;/owners_number&gt;", "") &amp; CHAR(10) &amp; IF('Фид (легковые)'!P17&lt;&gt;"", "    &lt;pts&gt;" &amp; 'Фид (легковые)'!P17 &amp; "&lt;/pts&gt;", "") &amp; CHAR(10) &amp; IF('Фид (легковые)'!Q17&lt;&gt;"", "    &lt;wheel&gt;" &amp; 'Фид (легковые)'!Q17 &amp; "&lt;/wheel&gt;", "") &amp; CHAR(10) &amp; IF('Фид (легковые)'!R17&lt;&gt;"", "    &lt;engine_type&gt;" &amp; 'Фид (легковые)'!R17 &amp; "&lt;/engine_type&gt;", "") &amp; CHAR(10) &amp; IF('Фид (легковые)'!S17&lt;&gt;"", "    &lt;drive&gt;" &amp; 'Фид (легковые)'!S17 &amp; "&lt;/drive&gt;", "") &amp; CHAR(10) &amp; IF('Фид (легковые)'!T17&lt;&gt;"", "    &lt;haggle&gt;" &amp; 'Фид (легковые)'!T17 &amp; "&lt;/haggle&gt;", "") &amp; CHAR(10) &amp; IF('Фид (легковые)'!U17&lt;&gt;"", "    &lt;exchange&gt;" &amp; 'Фид (легковые)'!U17 &amp; "&lt;/exchange&gt;", "") &amp; CHAR(10) &amp; IF('Фид (легковые)'!V17&lt;&gt;"", "    &lt;max_discount&gt;" &amp; 'Фид (легковые)'!V17 &amp; "&lt;/max_discount&gt;", "") &amp; CHAR(10) &amp; IF('Фид (легковые)'!W17&lt;&gt;"", "    &lt;description&gt;" &amp; SUBSTITUTE(SUBSTITUTE(SUBSTITUTE('Фид (легковые)'!W17,"&amp;","&amp;amp;"),"&lt;","&amp;lt;"),"&gt;","&amp;gt;") &amp; "&lt;/description&gt;", "") &amp; CHAR(10) &amp; IF('Фид (легковые)'!X17&lt;&gt;"", "    &lt;url&gt;" &amp; 'Фид (легковые)'!X17 &amp; "&lt;/url&gt;", "") &amp; CHAR(10) &amp; IF('Фид (легковые)'!Y17&lt;&gt;"", "    &lt;images&gt;&lt;image&gt;" &amp; SUBSTITUTE(SUBSTITUTE(SUBSTITUTE(SUBSTITUTE('Фид (легковые)'!Y17,"&amp;","&amp;amp;"),"&lt;","&amp;lt;"),"&gt;","&amp;gt;"),"|","&lt;/image&gt;&lt;image&gt;") &amp; "&lt;/image&gt;&lt;/images&gt;", "") &amp; CHAR(10) &amp; "  &lt;/car&gt;" &amp; CHAR(10), "")</f>
        <v/>
      </c>
    </row>
    <row r="18">
      <c r="C18" s="13" t="str">
        <f>IF('Фид (легковые)'!B18&lt;&gt;"", "  &lt;car&gt;" &amp; CHAR(10) &amp; IF('Фид (легковые)'!A18&lt;&gt;"", "    &lt;unique_id&gt;" &amp; 'Фид (легковые)'!A18 &amp; "&lt;/unique_id&gt;", "") &amp; CHAR(10) &amp; IF('Фид (легковые)'!B18&lt;&gt;"", "    &lt;mark_id&gt;" &amp; 'Фид (легковые)'!B18 &amp; "&lt;/mark_id&gt;", "") &amp; CHAR(10) &amp; IF('Фид (легковые)'!C18&lt;&gt;"", "    &lt;folder_id&gt;" &amp; 'Фид (легковые)'!C18 &amp; "&lt;/folder_id&gt;", "") &amp; CHAR(10) &amp; IF('Фид (легковые)'!D18&lt;&gt;"", "    &lt;modification_id&gt;" &amp; 'Фид (легковые)'!D18 &amp; "&lt;/modification_id&gt;", "") &amp; CHAR(10) &amp; IF('Фид (легковые)'!E18&lt;&gt;"", "    &lt;body_type&gt;" &amp; 'Фид (легковые)'!E18 &amp; "&lt;/body_type&gt;", "") &amp; CHAR(10) &amp; IF('Фид (легковые)'!F18&lt;&gt;"", "    &lt;year&gt;" &amp; 'Фид (легковые)'!F18 &amp; "&lt;/year&gt;", "") &amp; CHAR(10) &amp; IF('Фид (легковые)'!G18&lt;&gt;"", "    &lt;color&gt;" &amp; 'Фид (легковые)'!G18 &amp; "&lt;/color&gt;", "") &amp; CHAR(10) &amp; IF('Фид (легковые)'!H18&lt;&gt;"", "    &lt;price&gt;" &amp; 'Фид (легковые)'!H18 &amp; "&lt;/price&gt;", "") &amp; CHAR(10) &amp; IF('Фид (легковые)'!I18&lt;&gt;"", "    &lt;currency&gt;" &amp; 'Фид (легковые)'!I18 &amp; "&lt;/currency&gt;", "") &amp; CHAR(10) &amp; IF('Фид (легковые)'!J18&lt;&gt;"", "    &lt;run&gt;" &amp; 'Фид (легковые)'!J18 &amp; "&lt;/run&gt;", "") &amp; CHAR(10) &amp; IF('Фид (легковые)'!K18&lt;&gt;"", "    &lt;vin&gt;" &amp; 'Фид (легковые)'!K18 &amp; "&lt;/vin&gt;", "") &amp; CHAR(10) &amp; IF('Фид (легковые)'!L18&lt;&gt;"", "    &lt;availability&gt;" &amp; 'Фид (легковые)'!L18 &amp; "&lt;/availability&gt;", "") &amp; CHAR(10) &amp; IF('Фид (легковые)'!M18&lt;&gt;"", "    &lt;custom&gt;" &amp; 'Фид (легковые)'!M18 &amp; "&lt;/custom&gt;", "") &amp; CHAR(10) &amp; IF('Фид (легковые)'!N18&lt;&gt;"", "    &lt;state&gt;" &amp; 'Фид (легковые)'!N18 &amp; "&lt;/state&gt;", "") &amp; CHAR(10) &amp; IF('Фид (легковые)'!O18&lt;&gt;"", "    &lt;owners_number&gt;" &amp; 'Фид (легковые)'!O18 &amp; "&lt;/owners_number&gt;", "") &amp; CHAR(10) &amp; IF('Фид (легковые)'!P18&lt;&gt;"", "    &lt;pts&gt;" &amp; 'Фид (легковые)'!P18 &amp; "&lt;/pts&gt;", "") &amp; CHAR(10) &amp; IF('Фид (легковые)'!Q18&lt;&gt;"", "    &lt;wheel&gt;" &amp; 'Фид (легковые)'!Q18 &amp; "&lt;/wheel&gt;", "") &amp; CHAR(10) &amp; IF('Фид (легковые)'!R18&lt;&gt;"", "    &lt;engine_type&gt;" &amp; 'Фид (легковые)'!R18 &amp; "&lt;/engine_type&gt;", "") &amp; CHAR(10) &amp; IF('Фид (легковые)'!S18&lt;&gt;"", "    &lt;drive&gt;" &amp; 'Фид (легковые)'!S18 &amp; "&lt;/drive&gt;", "") &amp; CHAR(10) &amp; IF('Фид (легковые)'!T18&lt;&gt;"", "    &lt;haggle&gt;" &amp; 'Фид (легковые)'!T18 &amp; "&lt;/haggle&gt;", "") &amp; CHAR(10) &amp; IF('Фид (легковые)'!U18&lt;&gt;"", "    &lt;exchange&gt;" &amp; 'Фид (легковые)'!U18 &amp; "&lt;/exchange&gt;", "") &amp; CHAR(10) &amp; IF('Фид (легковые)'!V18&lt;&gt;"", "    &lt;max_discount&gt;" &amp; 'Фид (легковые)'!V18 &amp; "&lt;/max_discount&gt;", "") &amp; CHAR(10) &amp; IF('Фид (легковые)'!W18&lt;&gt;"", "    &lt;description&gt;" &amp; SUBSTITUTE(SUBSTITUTE(SUBSTITUTE('Фид (легковые)'!W18,"&amp;","&amp;amp;"),"&lt;","&amp;lt;"),"&gt;","&amp;gt;") &amp; "&lt;/description&gt;", "") &amp; CHAR(10) &amp; IF('Фид (легковые)'!X18&lt;&gt;"", "    &lt;url&gt;" &amp; 'Фид (легковые)'!X18 &amp; "&lt;/url&gt;", "") &amp; CHAR(10) &amp; IF('Фид (легковые)'!Y18&lt;&gt;"", "    &lt;images&gt;&lt;image&gt;" &amp; SUBSTITUTE(SUBSTITUTE(SUBSTITUTE(SUBSTITUTE('Фид (легковые)'!Y18,"&amp;","&amp;amp;"),"&lt;","&amp;lt;"),"&gt;","&amp;gt;"),"|","&lt;/image&gt;&lt;image&gt;") &amp; "&lt;/image&gt;&lt;/images&gt;", "") &amp; CHAR(10) &amp; "  &lt;/car&gt;" &amp; CHAR(10), "")</f>
        <v/>
      </c>
    </row>
    <row r="19">
      <c r="C19" s="13" t="str">
        <f>IF('Фид (легковые)'!B19&lt;&gt;"", "  &lt;car&gt;" &amp; CHAR(10) &amp; IF('Фид (легковые)'!A19&lt;&gt;"", "    &lt;unique_id&gt;" &amp; 'Фид (легковые)'!A19 &amp; "&lt;/unique_id&gt;", "") &amp; CHAR(10) &amp; IF('Фид (легковые)'!B19&lt;&gt;"", "    &lt;mark_id&gt;" &amp; 'Фид (легковые)'!B19 &amp; "&lt;/mark_id&gt;", "") &amp; CHAR(10) &amp; IF('Фид (легковые)'!C19&lt;&gt;"", "    &lt;folder_id&gt;" &amp; 'Фид (легковые)'!C19 &amp; "&lt;/folder_id&gt;", "") &amp; CHAR(10) &amp; IF('Фид (легковые)'!D19&lt;&gt;"", "    &lt;modification_id&gt;" &amp; 'Фид (легковые)'!D19 &amp; "&lt;/modification_id&gt;", "") &amp; CHAR(10) &amp; IF('Фид (легковые)'!E19&lt;&gt;"", "    &lt;body_type&gt;" &amp; 'Фид (легковые)'!E19 &amp; "&lt;/body_type&gt;", "") &amp; CHAR(10) &amp; IF('Фид (легковые)'!F19&lt;&gt;"", "    &lt;year&gt;" &amp; 'Фид (легковые)'!F19 &amp; "&lt;/year&gt;", "") &amp; CHAR(10) &amp; IF('Фид (легковые)'!G19&lt;&gt;"", "    &lt;color&gt;" &amp; 'Фид (легковые)'!G19 &amp; "&lt;/color&gt;", "") &amp; CHAR(10) &amp; IF('Фид (легковые)'!H19&lt;&gt;"", "    &lt;price&gt;" &amp; 'Фид (легковые)'!H19 &amp; "&lt;/price&gt;", "") &amp; CHAR(10) &amp; IF('Фид (легковые)'!I19&lt;&gt;"", "    &lt;currency&gt;" &amp; 'Фид (легковые)'!I19 &amp; "&lt;/currency&gt;", "") &amp; CHAR(10) &amp; IF('Фид (легковые)'!J19&lt;&gt;"", "    &lt;run&gt;" &amp; 'Фид (легковые)'!J19 &amp; "&lt;/run&gt;", "") &amp; CHAR(10) &amp; IF('Фид (легковые)'!K19&lt;&gt;"", "    &lt;vin&gt;" &amp; 'Фид (легковые)'!K19 &amp; "&lt;/vin&gt;", "") &amp; CHAR(10) &amp; IF('Фид (легковые)'!L19&lt;&gt;"", "    &lt;availability&gt;" &amp; 'Фид (легковые)'!L19 &amp; "&lt;/availability&gt;", "") &amp; CHAR(10) &amp; IF('Фид (легковые)'!M19&lt;&gt;"", "    &lt;custom&gt;" &amp; 'Фид (легковые)'!M19 &amp; "&lt;/custom&gt;", "") &amp; CHAR(10) &amp; IF('Фид (легковые)'!N19&lt;&gt;"", "    &lt;state&gt;" &amp; 'Фид (легковые)'!N19 &amp; "&lt;/state&gt;", "") &amp; CHAR(10) &amp; IF('Фид (легковые)'!O19&lt;&gt;"", "    &lt;owners_number&gt;" &amp; 'Фид (легковые)'!O19 &amp; "&lt;/owners_number&gt;", "") &amp; CHAR(10) &amp; IF('Фид (легковые)'!P19&lt;&gt;"", "    &lt;pts&gt;" &amp; 'Фид (легковые)'!P19 &amp; "&lt;/pts&gt;", "") &amp; CHAR(10) &amp; IF('Фид (легковые)'!Q19&lt;&gt;"", "    &lt;wheel&gt;" &amp; 'Фид (легковые)'!Q19 &amp; "&lt;/wheel&gt;", "") &amp; CHAR(10) &amp; IF('Фид (легковые)'!R19&lt;&gt;"", "    &lt;engine_type&gt;" &amp; 'Фид (легковые)'!R19 &amp; "&lt;/engine_type&gt;", "") &amp; CHAR(10) &amp; IF('Фид (легковые)'!S19&lt;&gt;"", "    &lt;drive&gt;" &amp; 'Фид (легковые)'!S19 &amp; "&lt;/drive&gt;", "") &amp; CHAR(10) &amp; IF('Фид (легковые)'!T19&lt;&gt;"", "    &lt;haggle&gt;" &amp; 'Фид (легковые)'!T19 &amp; "&lt;/haggle&gt;", "") &amp; CHAR(10) &amp; IF('Фид (легковые)'!U19&lt;&gt;"", "    &lt;exchange&gt;" &amp; 'Фид (легковые)'!U19 &amp; "&lt;/exchange&gt;", "") &amp; CHAR(10) &amp; IF('Фид (легковые)'!V19&lt;&gt;"", "    &lt;max_discount&gt;" &amp; 'Фид (легковые)'!V19 &amp; "&lt;/max_discount&gt;", "") &amp; CHAR(10) &amp; IF('Фид (легковые)'!W19&lt;&gt;"", "    &lt;description&gt;" &amp; SUBSTITUTE(SUBSTITUTE(SUBSTITUTE('Фид (легковые)'!W19,"&amp;","&amp;amp;"),"&lt;","&amp;lt;"),"&gt;","&amp;gt;") &amp; "&lt;/description&gt;", "") &amp; CHAR(10) &amp; IF('Фид (легковые)'!X19&lt;&gt;"", "    &lt;url&gt;" &amp; 'Фид (легковые)'!X19 &amp; "&lt;/url&gt;", "") &amp; CHAR(10) &amp; IF('Фид (легковые)'!Y19&lt;&gt;"", "    &lt;images&gt;&lt;image&gt;" &amp; SUBSTITUTE(SUBSTITUTE(SUBSTITUTE(SUBSTITUTE('Фид (легковые)'!Y19,"&amp;","&amp;amp;"),"&lt;","&amp;lt;"),"&gt;","&amp;gt;"),"|","&lt;/image&gt;&lt;image&gt;") &amp; "&lt;/image&gt;&lt;/images&gt;", "") &amp; CHAR(10) &amp; "  &lt;/car&gt;" &amp; CHAR(10), "")</f>
        <v/>
      </c>
    </row>
    <row r="20">
      <c r="C20" s="13" t="str">
        <f>IF('Фид (легковые)'!B20&lt;&gt;"", "  &lt;car&gt;" &amp; CHAR(10) &amp; IF('Фид (легковые)'!A20&lt;&gt;"", "    &lt;unique_id&gt;" &amp; 'Фид (легковые)'!A20 &amp; "&lt;/unique_id&gt;", "") &amp; CHAR(10) &amp; IF('Фид (легковые)'!B20&lt;&gt;"", "    &lt;mark_id&gt;" &amp; 'Фид (легковые)'!B20 &amp; "&lt;/mark_id&gt;", "") &amp; CHAR(10) &amp; IF('Фид (легковые)'!C20&lt;&gt;"", "    &lt;folder_id&gt;" &amp; 'Фид (легковые)'!C20 &amp; "&lt;/folder_id&gt;", "") &amp; CHAR(10) &amp; IF('Фид (легковые)'!D20&lt;&gt;"", "    &lt;modification_id&gt;" &amp; 'Фид (легковые)'!D20 &amp; "&lt;/modification_id&gt;", "") &amp; CHAR(10) &amp; IF('Фид (легковые)'!E20&lt;&gt;"", "    &lt;body_type&gt;" &amp; 'Фид (легковые)'!E20 &amp; "&lt;/body_type&gt;", "") &amp; CHAR(10) &amp; IF('Фид (легковые)'!F20&lt;&gt;"", "    &lt;year&gt;" &amp; 'Фид (легковые)'!F20 &amp; "&lt;/year&gt;", "") &amp; CHAR(10) &amp; IF('Фид (легковые)'!G20&lt;&gt;"", "    &lt;color&gt;" &amp; 'Фид (легковые)'!G20 &amp; "&lt;/color&gt;", "") &amp; CHAR(10) &amp; IF('Фид (легковые)'!H20&lt;&gt;"", "    &lt;price&gt;" &amp; 'Фид (легковые)'!H20 &amp; "&lt;/price&gt;", "") &amp; CHAR(10) &amp; IF('Фид (легковые)'!I20&lt;&gt;"", "    &lt;currency&gt;" &amp; 'Фид (легковые)'!I20 &amp; "&lt;/currency&gt;", "") &amp; CHAR(10) &amp; IF('Фид (легковые)'!J20&lt;&gt;"", "    &lt;run&gt;" &amp; 'Фид (легковые)'!J20 &amp; "&lt;/run&gt;", "") &amp; CHAR(10) &amp; IF('Фид (легковые)'!K20&lt;&gt;"", "    &lt;vin&gt;" &amp; 'Фид (легковые)'!K20 &amp; "&lt;/vin&gt;", "") &amp; CHAR(10) &amp; IF('Фид (легковые)'!L20&lt;&gt;"", "    &lt;availability&gt;" &amp; 'Фид (легковые)'!L20 &amp; "&lt;/availability&gt;", "") &amp; CHAR(10) &amp; IF('Фид (легковые)'!M20&lt;&gt;"", "    &lt;custom&gt;" &amp; 'Фид (легковые)'!M20 &amp; "&lt;/custom&gt;", "") &amp; CHAR(10) &amp; IF('Фид (легковые)'!N20&lt;&gt;"", "    &lt;state&gt;" &amp; 'Фид (легковые)'!N20 &amp; "&lt;/state&gt;", "") &amp; CHAR(10) &amp; IF('Фид (легковые)'!O20&lt;&gt;"", "    &lt;owners_number&gt;" &amp; 'Фид (легковые)'!O20 &amp; "&lt;/owners_number&gt;", "") &amp; CHAR(10) &amp; IF('Фид (легковые)'!P20&lt;&gt;"", "    &lt;pts&gt;" &amp; 'Фид (легковые)'!P20 &amp; "&lt;/pts&gt;", "") &amp; CHAR(10) &amp; IF('Фид (легковые)'!Q20&lt;&gt;"", "    &lt;wheel&gt;" &amp; 'Фид (легковые)'!Q20 &amp; "&lt;/wheel&gt;", "") &amp; CHAR(10) &amp; IF('Фид (легковые)'!R20&lt;&gt;"", "    &lt;engine_type&gt;" &amp; 'Фид (легковые)'!R20 &amp; "&lt;/engine_type&gt;", "") &amp; CHAR(10) &amp; IF('Фид (легковые)'!S20&lt;&gt;"", "    &lt;drive&gt;" &amp; 'Фид (легковые)'!S20 &amp; "&lt;/drive&gt;", "") &amp; CHAR(10) &amp; IF('Фид (легковые)'!T20&lt;&gt;"", "    &lt;haggle&gt;" &amp; 'Фид (легковые)'!T20 &amp; "&lt;/haggle&gt;", "") &amp; CHAR(10) &amp; IF('Фид (легковые)'!U20&lt;&gt;"", "    &lt;exchange&gt;" &amp; 'Фид (легковые)'!U20 &amp; "&lt;/exchange&gt;", "") &amp; CHAR(10) &amp; IF('Фид (легковые)'!V20&lt;&gt;"", "    &lt;max_discount&gt;" &amp; 'Фид (легковые)'!V20 &amp; "&lt;/max_discount&gt;", "") &amp; CHAR(10) &amp; IF('Фид (легковые)'!W20&lt;&gt;"", "    &lt;description&gt;" &amp; SUBSTITUTE(SUBSTITUTE(SUBSTITUTE('Фид (легковые)'!W20,"&amp;","&amp;amp;"),"&lt;","&amp;lt;"),"&gt;","&amp;gt;") &amp; "&lt;/description&gt;", "") &amp; CHAR(10) &amp; IF('Фид (легковые)'!X20&lt;&gt;"", "    &lt;url&gt;" &amp; 'Фид (легковые)'!X20 &amp; "&lt;/url&gt;", "") &amp; CHAR(10) &amp; IF('Фид (легковые)'!Y20&lt;&gt;"", "    &lt;images&gt;&lt;image&gt;" &amp; SUBSTITUTE(SUBSTITUTE(SUBSTITUTE(SUBSTITUTE('Фид (легковые)'!Y20,"&amp;","&amp;amp;"),"&lt;","&amp;lt;"),"&gt;","&amp;gt;"),"|","&lt;/image&gt;&lt;image&gt;") &amp; "&lt;/image&gt;&lt;/images&gt;", "") &amp; CHAR(10) &amp; "  &lt;/car&gt;" &amp; CHAR(10), "")</f>
        <v/>
      </c>
    </row>
    <row r="21" ht="15.75" customHeight="1">
      <c r="C21" s="13" t="str">
        <f>IF('Фид (легковые)'!B21&lt;&gt;"", "  &lt;car&gt;" &amp; CHAR(10) &amp; IF('Фид (легковые)'!A21&lt;&gt;"", "    &lt;unique_id&gt;" &amp; 'Фид (легковые)'!A21 &amp; "&lt;/unique_id&gt;", "") &amp; CHAR(10) &amp; IF('Фид (легковые)'!B21&lt;&gt;"", "    &lt;mark_id&gt;" &amp; 'Фид (легковые)'!B21 &amp; "&lt;/mark_id&gt;", "") &amp; CHAR(10) &amp; IF('Фид (легковые)'!C21&lt;&gt;"", "    &lt;folder_id&gt;" &amp; 'Фид (легковые)'!C21 &amp; "&lt;/folder_id&gt;", "") &amp; CHAR(10) &amp; IF('Фид (легковые)'!D21&lt;&gt;"", "    &lt;modification_id&gt;" &amp; 'Фид (легковые)'!D21 &amp; "&lt;/modification_id&gt;", "") &amp; CHAR(10) &amp; IF('Фид (легковые)'!E21&lt;&gt;"", "    &lt;body_type&gt;" &amp; 'Фид (легковые)'!E21 &amp; "&lt;/body_type&gt;", "") &amp; CHAR(10) &amp; IF('Фид (легковые)'!F21&lt;&gt;"", "    &lt;year&gt;" &amp; 'Фид (легковые)'!F21 &amp; "&lt;/year&gt;", "") &amp; CHAR(10) &amp; IF('Фид (легковые)'!G21&lt;&gt;"", "    &lt;color&gt;" &amp; 'Фид (легковые)'!G21 &amp; "&lt;/color&gt;", "") &amp; CHAR(10) &amp; IF('Фид (легковые)'!H21&lt;&gt;"", "    &lt;price&gt;" &amp; 'Фид (легковые)'!H21 &amp; "&lt;/price&gt;", "") &amp; CHAR(10) &amp; IF('Фид (легковые)'!I21&lt;&gt;"", "    &lt;currency&gt;" &amp; 'Фид (легковые)'!I21 &amp; "&lt;/currency&gt;", "") &amp; CHAR(10) &amp; IF('Фид (легковые)'!J21&lt;&gt;"", "    &lt;run&gt;" &amp; 'Фид (легковые)'!J21 &amp; "&lt;/run&gt;", "") &amp; CHAR(10) &amp; IF('Фид (легковые)'!K21&lt;&gt;"", "    &lt;vin&gt;" &amp; 'Фид (легковые)'!K21 &amp; "&lt;/vin&gt;", "") &amp; CHAR(10) &amp; IF('Фид (легковые)'!L21&lt;&gt;"", "    &lt;availability&gt;" &amp; 'Фид (легковые)'!L21 &amp; "&lt;/availability&gt;", "") &amp; CHAR(10) &amp; IF('Фид (легковые)'!M21&lt;&gt;"", "    &lt;custom&gt;" &amp; 'Фид (легковые)'!M21 &amp; "&lt;/custom&gt;", "") &amp; CHAR(10) &amp; IF('Фид (легковые)'!N21&lt;&gt;"", "    &lt;state&gt;" &amp; 'Фид (легковые)'!N21 &amp; "&lt;/state&gt;", "") &amp; CHAR(10) &amp; IF('Фид (легковые)'!O21&lt;&gt;"", "    &lt;owners_number&gt;" &amp; 'Фид (легковые)'!O21 &amp; "&lt;/owners_number&gt;", "") &amp; CHAR(10) &amp; IF('Фид (легковые)'!P21&lt;&gt;"", "    &lt;pts&gt;" &amp; 'Фид (легковые)'!P21 &amp; "&lt;/pts&gt;", "") &amp; CHAR(10) &amp; IF('Фид (легковые)'!Q21&lt;&gt;"", "    &lt;wheel&gt;" &amp; 'Фид (легковые)'!Q21 &amp; "&lt;/wheel&gt;", "") &amp; CHAR(10) &amp; IF('Фид (легковые)'!R21&lt;&gt;"", "    &lt;engine_type&gt;" &amp; 'Фид (легковые)'!R21 &amp; "&lt;/engine_type&gt;", "") &amp; CHAR(10) &amp; IF('Фид (легковые)'!S21&lt;&gt;"", "    &lt;drive&gt;" &amp; 'Фид (легковые)'!S21 &amp; "&lt;/drive&gt;", "") &amp; CHAR(10) &amp; IF('Фид (легковые)'!T21&lt;&gt;"", "    &lt;haggle&gt;" &amp; 'Фид (легковые)'!T21 &amp; "&lt;/haggle&gt;", "") &amp; CHAR(10) &amp; IF('Фид (легковые)'!U21&lt;&gt;"", "    &lt;exchange&gt;" &amp; 'Фид (легковые)'!U21 &amp; "&lt;/exchange&gt;", "") &amp; CHAR(10) &amp; IF('Фид (легковые)'!V21&lt;&gt;"", "    &lt;max_discount&gt;" &amp; 'Фид (легковые)'!V21 &amp; "&lt;/max_discount&gt;", "") &amp; CHAR(10) &amp; IF('Фид (легковые)'!W21&lt;&gt;"", "    &lt;description&gt;" &amp; SUBSTITUTE(SUBSTITUTE(SUBSTITUTE('Фид (легковые)'!W21,"&amp;","&amp;amp;"),"&lt;","&amp;lt;"),"&gt;","&amp;gt;") &amp; "&lt;/description&gt;", "") &amp; CHAR(10) &amp; IF('Фид (легковые)'!X21&lt;&gt;"", "    &lt;url&gt;" &amp; 'Фид (легковые)'!X21 &amp; "&lt;/url&gt;", "") &amp; CHAR(10) &amp; IF('Фид (легковые)'!Y21&lt;&gt;"", "    &lt;images&gt;&lt;image&gt;" &amp; SUBSTITUTE(SUBSTITUTE(SUBSTITUTE(SUBSTITUTE('Фид (легковые)'!Y21,"&amp;","&amp;amp;"),"&lt;","&amp;lt;"),"&gt;","&amp;gt;"),"|","&lt;/image&gt;&lt;image&gt;") &amp; "&lt;/image&gt;&lt;/images&gt;", "") &amp; CHAR(10) &amp; "  &lt;/car&gt;" &amp; CHAR(10), "")</f>
        <v/>
      </c>
    </row>
    <row r="22" ht="15.75" customHeight="1">
      <c r="C22" s="13" t="str">
        <f>IF('Фид (легковые)'!B22&lt;&gt;"", "  &lt;car&gt;" &amp; CHAR(10) &amp; IF('Фид (легковые)'!A22&lt;&gt;"", "    &lt;unique_id&gt;" &amp; 'Фид (легковые)'!A22 &amp; "&lt;/unique_id&gt;", "") &amp; CHAR(10) &amp; IF('Фид (легковые)'!B22&lt;&gt;"", "    &lt;mark_id&gt;" &amp; 'Фид (легковые)'!B22 &amp; "&lt;/mark_id&gt;", "") &amp; CHAR(10) &amp; IF('Фид (легковые)'!C22&lt;&gt;"", "    &lt;folder_id&gt;" &amp; 'Фид (легковые)'!C22 &amp; "&lt;/folder_id&gt;", "") &amp; CHAR(10) &amp; IF('Фид (легковые)'!D22&lt;&gt;"", "    &lt;modification_id&gt;" &amp; 'Фид (легковые)'!D22 &amp; "&lt;/modification_id&gt;", "") &amp; CHAR(10) &amp; IF('Фид (легковые)'!E22&lt;&gt;"", "    &lt;body_type&gt;" &amp; 'Фид (легковые)'!E22 &amp; "&lt;/body_type&gt;", "") &amp; CHAR(10) &amp; IF('Фид (легковые)'!F22&lt;&gt;"", "    &lt;year&gt;" &amp; 'Фид (легковые)'!F22 &amp; "&lt;/year&gt;", "") &amp; CHAR(10) &amp; IF('Фид (легковые)'!G22&lt;&gt;"", "    &lt;color&gt;" &amp; 'Фид (легковые)'!G22 &amp; "&lt;/color&gt;", "") &amp; CHAR(10) &amp; IF('Фид (легковые)'!H22&lt;&gt;"", "    &lt;price&gt;" &amp; 'Фид (легковые)'!H22 &amp; "&lt;/price&gt;", "") &amp; CHAR(10) &amp; IF('Фид (легковые)'!I22&lt;&gt;"", "    &lt;currency&gt;" &amp; 'Фид (легковые)'!I22 &amp; "&lt;/currency&gt;", "") &amp; CHAR(10) &amp; IF('Фид (легковые)'!J22&lt;&gt;"", "    &lt;run&gt;" &amp; 'Фид (легковые)'!J22 &amp; "&lt;/run&gt;", "") &amp; CHAR(10) &amp; IF('Фид (легковые)'!K22&lt;&gt;"", "    &lt;vin&gt;" &amp; 'Фид (легковые)'!K22 &amp; "&lt;/vin&gt;", "") &amp; CHAR(10) &amp; IF('Фид (легковые)'!L22&lt;&gt;"", "    &lt;availability&gt;" &amp; 'Фид (легковые)'!L22 &amp; "&lt;/availability&gt;", "") &amp; CHAR(10) &amp; IF('Фид (легковые)'!M22&lt;&gt;"", "    &lt;custom&gt;" &amp; 'Фид (легковые)'!M22 &amp; "&lt;/custom&gt;", "") &amp; CHAR(10) &amp; IF('Фид (легковые)'!N22&lt;&gt;"", "    &lt;state&gt;" &amp; 'Фид (легковые)'!N22 &amp; "&lt;/state&gt;", "") &amp; CHAR(10) &amp; IF('Фид (легковые)'!O22&lt;&gt;"", "    &lt;owners_number&gt;" &amp; 'Фид (легковые)'!O22 &amp; "&lt;/owners_number&gt;", "") &amp; CHAR(10) &amp; IF('Фид (легковые)'!P22&lt;&gt;"", "    &lt;pts&gt;" &amp; 'Фид (легковые)'!P22 &amp; "&lt;/pts&gt;", "") &amp; CHAR(10) &amp; IF('Фид (легковые)'!Q22&lt;&gt;"", "    &lt;wheel&gt;" &amp; 'Фид (легковые)'!Q22 &amp; "&lt;/wheel&gt;", "") &amp; CHAR(10) &amp; IF('Фид (легковые)'!R22&lt;&gt;"", "    &lt;engine_type&gt;" &amp; 'Фид (легковые)'!R22 &amp; "&lt;/engine_type&gt;", "") &amp; CHAR(10) &amp; IF('Фид (легковые)'!S22&lt;&gt;"", "    &lt;drive&gt;" &amp; 'Фид (легковые)'!S22 &amp; "&lt;/drive&gt;", "") &amp; CHAR(10) &amp; IF('Фид (легковые)'!T22&lt;&gt;"", "    &lt;haggle&gt;" &amp; 'Фид (легковые)'!T22 &amp; "&lt;/haggle&gt;", "") &amp; CHAR(10) &amp; IF('Фид (легковые)'!U22&lt;&gt;"", "    &lt;exchange&gt;" &amp; 'Фид (легковые)'!U22 &amp; "&lt;/exchange&gt;", "") &amp; CHAR(10) &amp; IF('Фид (легковые)'!V22&lt;&gt;"", "    &lt;max_discount&gt;" &amp; 'Фид (легковые)'!V22 &amp; "&lt;/max_discount&gt;", "") &amp; CHAR(10) &amp; IF('Фид (легковые)'!W22&lt;&gt;"", "    &lt;description&gt;" &amp; SUBSTITUTE(SUBSTITUTE(SUBSTITUTE('Фид (легковые)'!W22,"&amp;","&amp;amp;"),"&lt;","&amp;lt;"),"&gt;","&amp;gt;") &amp; "&lt;/description&gt;", "") &amp; CHAR(10) &amp; IF('Фид (легковые)'!X22&lt;&gt;"", "    &lt;url&gt;" &amp; 'Фид (легковые)'!X22 &amp; "&lt;/url&gt;", "") &amp; CHAR(10) &amp; IF('Фид (легковые)'!Y22&lt;&gt;"", "    &lt;images&gt;&lt;image&gt;" &amp; SUBSTITUTE(SUBSTITUTE(SUBSTITUTE(SUBSTITUTE('Фид (легковые)'!Y22,"&amp;","&amp;amp;"),"&lt;","&amp;lt;"),"&gt;","&amp;gt;"),"|","&lt;/image&gt;&lt;image&gt;") &amp; "&lt;/image&gt;&lt;/images&gt;", "") &amp; CHAR(10) &amp; "  &lt;/car&gt;" &amp; CHAR(10), "")</f>
        <v/>
      </c>
    </row>
    <row r="23" ht="15.75" customHeight="1">
      <c r="C23" s="13" t="str">
        <f>IF('Фид (легковые)'!B23&lt;&gt;"", "  &lt;car&gt;" &amp; CHAR(10) &amp; IF('Фид (легковые)'!A23&lt;&gt;"", "    &lt;unique_id&gt;" &amp; 'Фид (легковые)'!A23 &amp; "&lt;/unique_id&gt;", "") &amp; CHAR(10) &amp; IF('Фид (легковые)'!B23&lt;&gt;"", "    &lt;mark_id&gt;" &amp; 'Фид (легковые)'!B23 &amp; "&lt;/mark_id&gt;", "") &amp; CHAR(10) &amp; IF('Фид (легковые)'!C23&lt;&gt;"", "    &lt;folder_id&gt;" &amp; 'Фид (легковые)'!C23 &amp; "&lt;/folder_id&gt;", "") &amp; CHAR(10) &amp; IF('Фид (легковые)'!D23&lt;&gt;"", "    &lt;modification_id&gt;" &amp; 'Фид (легковые)'!D23 &amp; "&lt;/modification_id&gt;", "") &amp; CHAR(10) &amp; IF('Фид (легковые)'!E23&lt;&gt;"", "    &lt;body_type&gt;" &amp; 'Фид (легковые)'!E23 &amp; "&lt;/body_type&gt;", "") &amp; CHAR(10) &amp; IF('Фид (легковые)'!F23&lt;&gt;"", "    &lt;year&gt;" &amp; 'Фид (легковые)'!F23 &amp; "&lt;/year&gt;", "") &amp; CHAR(10) &amp; IF('Фид (легковые)'!G23&lt;&gt;"", "    &lt;color&gt;" &amp; 'Фид (легковые)'!G23 &amp; "&lt;/color&gt;", "") &amp; CHAR(10) &amp; IF('Фид (легковые)'!H23&lt;&gt;"", "    &lt;price&gt;" &amp; 'Фид (легковые)'!H23 &amp; "&lt;/price&gt;", "") &amp; CHAR(10) &amp; IF('Фид (легковые)'!I23&lt;&gt;"", "    &lt;currency&gt;" &amp; 'Фид (легковые)'!I23 &amp; "&lt;/currency&gt;", "") &amp; CHAR(10) &amp; IF('Фид (легковые)'!J23&lt;&gt;"", "    &lt;run&gt;" &amp; 'Фид (легковые)'!J23 &amp; "&lt;/run&gt;", "") &amp; CHAR(10) &amp; IF('Фид (легковые)'!K23&lt;&gt;"", "    &lt;vin&gt;" &amp; 'Фид (легковые)'!K23 &amp; "&lt;/vin&gt;", "") &amp; CHAR(10) &amp; IF('Фид (легковые)'!L23&lt;&gt;"", "    &lt;availability&gt;" &amp; 'Фид (легковые)'!L23 &amp; "&lt;/availability&gt;", "") &amp; CHAR(10) &amp; IF('Фид (легковые)'!M23&lt;&gt;"", "    &lt;custom&gt;" &amp; 'Фид (легковые)'!M23 &amp; "&lt;/custom&gt;", "") &amp; CHAR(10) &amp; IF('Фид (легковые)'!N23&lt;&gt;"", "    &lt;state&gt;" &amp; 'Фид (легковые)'!N23 &amp; "&lt;/state&gt;", "") &amp; CHAR(10) &amp; IF('Фид (легковые)'!O23&lt;&gt;"", "    &lt;owners_number&gt;" &amp; 'Фид (легковые)'!O23 &amp; "&lt;/owners_number&gt;", "") &amp; CHAR(10) &amp; IF('Фид (легковые)'!P23&lt;&gt;"", "    &lt;pts&gt;" &amp; 'Фид (легковые)'!P23 &amp; "&lt;/pts&gt;", "") &amp; CHAR(10) &amp; IF('Фид (легковые)'!Q23&lt;&gt;"", "    &lt;wheel&gt;" &amp; 'Фид (легковые)'!Q23 &amp; "&lt;/wheel&gt;", "") &amp; CHAR(10) &amp; IF('Фид (легковые)'!R23&lt;&gt;"", "    &lt;engine_type&gt;" &amp; 'Фид (легковые)'!R23 &amp; "&lt;/engine_type&gt;", "") &amp; CHAR(10) &amp; IF('Фид (легковые)'!S23&lt;&gt;"", "    &lt;drive&gt;" &amp; 'Фид (легковые)'!S23 &amp; "&lt;/drive&gt;", "") &amp; CHAR(10) &amp; IF('Фид (легковые)'!T23&lt;&gt;"", "    &lt;haggle&gt;" &amp; 'Фид (легковые)'!T23 &amp; "&lt;/haggle&gt;", "") &amp; CHAR(10) &amp; IF('Фид (легковые)'!U23&lt;&gt;"", "    &lt;exchange&gt;" &amp; 'Фид (легковые)'!U23 &amp; "&lt;/exchange&gt;", "") &amp; CHAR(10) &amp; IF('Фид (легковые)'!V23&lt;&gt;"", "    &lt;max_discount&gt;" &amp; 'Фид (легковые)'!V23 &amp; "&lt;/max_discount&gt;", "") &amp; CHAR(10) &amp; IF('Фид (легковые)'!W23&lt;&gt;"", "    &lt;description&gt;" &amp; SUBSTITUTE(SUBSTITUTE(SUBSTITUTE('Фид (легковые)'!W23,"&amp;","&amp;amp;"),"&lt;","&amp;lt;"),"&gt;","&amp;gt;") &amp; "&lt;/description&gt;", "") &amp; CHAR(10) &amp; IF('Фид (легковые)'!X23&lt;&gt;"", "    &lt;url&gt;" &amp; 'Фид (легковые)'!X23 &amp; "&lt;/url&gt;", "") &amp; CHAR(10) &amp; IF('Фид (легковые)'!Y23&lt;&gt;"", "    &lt;images&gt;&lt;image&gt;" &amp; SUBSTITUTE(SUBSTITUTE(SUBSTITUTE(SUBSTITUTE('Фид (легковые)'!Y23,"&amp;","&amp;amp;"),"&lt;","&amp;lt;"),"&gt;","&amp;gt;"),"|","&lt;/image&gt;&lt;image&gt;") &amp; "&lt;/image&gt;&lt;/images&gt;", "") &amp; CHAR(10) &amp; "  &lt;/car&gt;" &amp; CHAR(10), "")</f>
        <v/>
      </c>
    </row>
    <row r="24" ht="15.75" customHeight="1">
      <c r="C24" s="13" t="str">
        <f>IF('Фид (легковые)'!B24&lt;&gt;"", "  &lt;car&gt;" &amp; CHAR(10) &amp; IF('Фид (легковые)'!A24&lt;&gt;"", "    &lt;unique_id&gt;" &amp; 'Фид (легковые)'!A24 &amp; "&lt;/unique_id&gt;", "") &amp; CHAR(10) &amp; IF('Фид (легковые)'!B24&lt;&gt;"", "    &lt;mark_id&gt;" &amp; 'Фид (легковые)'!B24 &amp; "&lt;/mark_id&gt;", "") &amp; CHAR(10) &amp; IF('Фид (легковые)'!C24&lt;&gt;"", "    &lt;folder_id&gt;" &amp; 'Фид (легковые)'!C24 &amp; "&lt;/folder_id&gt;", "") &amp; CHAR(10) &amp; IF('Фид (легковые)'!D24&lt;&gt;"", "    &lt;modification_id&gt;" &amp; 'Фид (легковые)'!D24 &amp; "&lt;/modification_id&gt;", "") &amp; CHAR(10) &amp; IF('Фид (легковые)'!E24&lt;&gt;"", "    &lt;body_type&gt;" &amp; 'Фид (легковые)'!E24 &amp; "&lt;/body_type&gt;", "") &amp; CHAR(10) &amp; IF('Фид (легковые)'!F24&lt;&gt;"", "    &lt;year&gt;" &amp; 'Фид (легковые)'!F24 &amp; "&lt;/year&gt;", "") &amp; CHAR(10) &amp; IF('Фид (легковые)'!G24&lt;&gt;"", "    &lt;color&gt;" &amp; 'Фид (легковые)'!G24 &amp; "&lt;/color&gt;", "") &amp; CHAR(10) &amp; IF('Фид (легковые)'!H24&lt;&gt;"", "    &lt;price&gt;" &amp; 'Фид (легковые)'!H24 &amp; "&lt;/price&gt;", "") &amp; CHAR(10) &amp; IF('Фид (легковые)'!I24&lt;&gt;"", "    &lt;currency&gt;" &amp; 'Фид (легковые)'!I24 &amp; "&lt;/currency&gt;", "") &amp; CHAR(10) &amp; IF('Фид (легковые)'!J24&lt;&gt;"", "    &lt;run&gt;" &amp; 'Фид (легковые)'!J24 &amp; "&lt;/run&gt;", "") &amp; CHAR(10) &amp; IF('Фид (легковые)'!K24&lt;&gt;"", "    &lt;vin&gt;" &amp; 'Фид (легковые)'!K24 &amp; "&lt;/vin&gt;", "") &amp; CHAR(10) &amp; IF('Фид (легковые)'!L24&lt;&gt;"", "    &lt;availability&gt;" &amp; 'Фид (легковые)'!L24 &amp; "&lt;/availability&gt;", "") &amp; CHAR(10) &amp; IF('Фид (легковые)'!M24&lt;&gt;"", "    &lt;custom&gt;" &amp; 'Фид (легковые)'!M24 &amp; "&lt;/custom&gt;", "") &amp; CHAR(10) &amp; IF('Фид (легковые)'!N24&lt;&gt;"", "    &lt;state&gt;" &amp; 'Фид (легковые)'!N24 &amp; "&lt;/state&gt;", "") &amp; CHAR(10) &amp; IF('Фид (легковые)'!O24&lt;&gt;"", "    &lt;owners_number&gt;" &amp; 'Фид (легковые)'!O24 &amp; "&lt;/owners_number&gt;", "") &amp; CHAR(10) &amp; IF('Фид (легковые)'!P24&lt;&gt;"", "    &lt;pts&gt;" &amp; 'Фид (легковые)'!P24 &amp; "&lt;/pts&gt;", "") &amp; CHAR(10) &amp; IF('Фид (легковые)'!Q24&lt;&gt;"", "    &lt;wheel&gt;" &amp; 'Фид (легковые)'!Q24 &amp; "&lt;/wheel&gt;", "") &amp; CHAR(10) &amp; IF('Фид (легковые)'!R24&lt;&gt;"", "    &lt;engine_type&gt;" &amp; 'Фид (легковые)'!R24 &amp; "&lt;/engine_type&gt;", "") &amp; CHAR(10) &amp; IF('Фид (легковые)'!S24&lt;&gt;"", "    &lt;drive&gt;" &amp; 'Фид (легковые)'!S24 &amp; "&lt;/drive&gt;", "") &amp; CHAR(10) &amp; IF('Фид (легковые)'!T24&lt;&gt;"", "    &lt;haggle&gt;" &amp; 'Фид (легковые)'!T24 &amp; "&lt;/haggle&gt;", "") &amp; CHAR(10) &amp; IF('Фид (легковые)'!U24&lt;&gt;"", "    &lt;exchange&gt;" &amp; 'Фид (легковые)'!U24 &amp; "&lt;/exchange&gt;", "") &amp; CHAR(10) &amp; IF('Фид (легковые)'!V24&lt;&gt;"", "    &lt;max_discount&gt;" &amp; 'Фид (легковые)'!V24 &amp; "&lt;/max_discount&gt;", "") &amp; CHAR(10) &amp; IF('Фид (легковые)'!W24&lt;&gt;"", "    &lt;description&gt;" &amp; SUBSTITUTE(SUBSTITUTE(SUBSTITUTE('Фид (легковые)'!W24,"&amp;","&amp;amp;"),"&lt;","&amp;lt;"),"&gt;","&amp;gt;") &amp; "&lt;/description&gt;", "") &amp; CHAR(10) &amp; IF('Фид (легковые)'!X24&lt;&gt;"", "    &lt;url&gt;" &amp; 'Фид (легковые)'!X24 &amp; "&lt;/url&gt;", "") &amp; CHAR(10) &amp; IF('Фид (легковые)'!Y24&lt;&gt;"", "    &lt;images&gt;&lt;image&gt;" &amp; SUBSTITUTE(SUBSTITUTE(SUBSTITUTE(SUBSTITUTE('Фид (легковые)'!Y24,"&amp;","&amp;amp;"),"&lt;","&amp;lt;"),"&gt;","&amp;gt;"),"|","&lt;/image&gt;&lt;image&gt;") &amp; "&lt;/image&gt;&lt;/images&gt;", "") &amp; CHAR(10) &amp; "  &lt;/car&gt;" &amp; CHAR(10), "")</f>
        <v/>
      </c>
    </row>
    <row r="25" ht="15.75" customHeight="1">
      <c r="C25" s="13" t="str">
        <f>IF('Фид (легковые)'!B25&lt;&gt;"", "  &lt;car&gt;" &amp; CHAR(10) &amp; IF('Фид (легковые)'!A25&lt;&gt;"", "    &lt;unique_id&gt;" &amp; 'Фид (легковые)'!A25 &amp; "&lt;/unique_id&gt;", "") &amp; CHAR(10) &amp; IF('Фид (легковые)'!B25&lt;&gt;"", "    &lt;mark_id&gt;" &amp; 'Фид (легковые)'!B25 &amp; "&lt;/mark_id&gt;", "") &amp; CHAR(10) &amp; IF('Фид (легковые)'!C25&lt;&gt;"", "    &lt;folder_id&gt;" &amp; 'Фид (легковые)'!C25 &amp; "&lt;/folder_id&gt;", "") &amp; CHAR(10) &amp; IF('Фид (легковые)'!D25&lt;&gt;"", "    &lt;modification_id&gt;" &amp; 'Фид (легковые)'!D25 &amp; "&lt;/modification_id&gt;", "") &amp; CHAR(10) &amp; IF('Фид (легковые)'!E25&lt;&gt;"", "    &lt;body_type&gt;" &amp; 'Фид (легковые)'!E25 &amp; "&lt;/body_type&gt;", "") &amp; CHAR(10) &amp; IF('Фид (легковые)'!F25&lt;&gt;"", "    &lt;year&gt;" &amp; 'Фид (легковые)'!F25 &amp; "&lt;/year&gt;", "") &amp; CHAR(10) &amp; IF('Фид (легковые)'!G25&lt;&gt;"", "    &lt;color&gt;" &amp; 'Фид (легковые)'!G25 &amp; "&lt;/color&gt;", "") &amp; CHAR(10) &amp; IF('Фид (легковые)'!H25&lt;&gt;"", "    &lt;price&gt;" &amp; 'Фид (легковые)'!H25 &amp; "&lt;/price&gt;", "") &amp; CHAR(10) &amp; IF('Фид (легковые)'!I25&lt;&gt;"", "    &lt;currency&gt;" &amp; 'Фид (легковые)'!I25 &amp; "&lt;/currency&gt;", "") &amp; CHAR(10) &amp; IF('Фид (легковые)'!J25&lt;&gt;"", "    &lt;run&gt;" &amp; 'Фид (легковые)'!J25 &amp; "&lt;/run&gt;", "") &amp; CHAR(10) &amp; IF('Фид (легковые)'!K25&lt;&gt;"", "    &lt;vin&gt;" &amp; 'Фид (легковые)'!K25 &amp; "&lt;/vin&gt;", "") &amp; CHAR(10) &amp; IF('Фид (легковые)'!L25&lt;&gt;"", "    &lt;availability&gt;" &amp; 'Фид (легковые)'!L25 &amp; "&lt;/availability&gt;", "") &amp; CHAR(10) &amp; IF('Фид (легковые)'!M25&lt;&gt;"", "    &lt;custom&gt;" &amp; 'Фид (легковые)'!M25 &amp; "&lt;/custom&gt;", "") &amp; CHAR(10) &amp; IF('Фид (легковые)'!N25&lt;&gt;"", "    &lt;state&gt;" &amp; 'Фид (легковые)'!N25 &amp; "&lt;/state&gt;", "") &amp; CHAR(10) &amp; IF('Фид (легковые)'!O25&lt;&gt;"", "    &lt;owners_number&gt;" &amp; 'Фид (легковые)'!O25 &amp; "&lt;/owners_number&gt;", "") &amp; CHAR(10) &amp; IF('Фид (легковые)'!P25&lt;&gt;"", "    &lt;pts&gt;" &amp; 'Фид (легковые)'!P25 &amp; "&lt;/pts&gt;", "") &amp; CHAR(10) &amp; IF('Фид (легковые)'!Q25&lt;&gt;"", "    &lt;wheel&gt;" &amp; 'Фид (легковые)'!Q25 &amp; "&lt;/wheel&gt;", "") &amp; CHAR(10) &amp; IF('Фид (легковые)'!R25&lt;&gt;"", "    &lt;engine_type&gt;" &amp; 'Фид (легковые)'!R25 &amp; "&lt;/engine_type&gt;", "") &amp; CHAR(10) &amp; IF('Фид (легковые)'!S25&lt;&gt;"", "    &lt;drive&gt;" &amp; 'Фид (легковые)'!S25 &amp; "&lt;/drive&gt;", "") &amp; CHAR(10) &amp; IF('Фид (легковые)'!T25&lt;&gt;"", "    &lt;haggle&gt;" &amp; 'Фид (легковые)'!T25 &amp; "&lt;/haggle&gt;", "") &amp; CHAR(10) &amp; IF('Фид (легковые)'!U25&lt;&gt;"", "    &lt;exchange&gt;" &amp; 'Фид (легковые)'!U25 &amp; "&lt;/exchange&gt;", "") &amp; CHAR(10) &amp; IF('Фид (легковые)'!V25&lt;&gt;"", "    &lt;max_discount&gt;" &amp; 'Фид (легковые)'!V25 &amp; "&lt;/max_discount&gt;", "") &amp; CHAR(10) &amp; IF('Фид (легковые)'!W25&lt;&gt;"", "    &lt;description&gt;" &amp; SUBSTITUTE(SUBSTITUTE(SUBSTITUTE('Фид (легковые)'!W25,"&amp;","&amp;amp;"),"&lt;","&amp;lt;"),"&gt;","&amp;gt;") &amp; "&lt;/description&gt;", "") &amp; CHAR(10) &amp; IF('Фид (легковые)'!X25&lt;&gt;"", "    &lt;url&gt;" &amp; 'Фид (легковые)'!X25 &amp; "&lt;/url&gt;", "") &amp; CHAR(10) &amp; IF('Фид (легковые)'!Y25&lt;&gt;"", "    &lt;images&gt;&lt;image&gt;" &amp; SUBSTITUTE(SUBSTITUTE(SUBSTITUTE(SUBSTITUTE('Фид (легковые)'!Y25,"&amp;","&amp;amp;"),"&lt;","&amp;lt;"),"&gt;","&amp;gt;"),"|","&lt;/image&gt;&lt;image&gt;") &amp; "&lt;/image&gt;&lt;/images&gt;", "") &amp; CHAR(10) &amp; "  &lt;/car&gt;" &amp; CHAR(10), "")</f>
        <v/>
      </c>
    </row>
    <row r="26" ht="15.75" customHeight="1">
      <c r="C26" s="13" t="str">
        <f>IF('Фид (легковые)'!B26&lt;&gt;"", "  &lt;car&gt;" &amp; CHAR(10) &amp; IF('Фид (легковые)'!A26&lt;&gt;"", "    &lt;unique_id&gt;" &amp; 'Фид (легковые)'!A26 &amp; "&lt;/unique_id&gt;", "") &amp; CHAR(10) &amp; IF('Фид (легковые)'!B26&lt;&gt;"", "    &lt;mark_id&gt;" &amp; 'Фид (легковые)'!B26 &amp; "&lt;/mark_id&gt;", "") &amp; CHAR(10) &amp; IF('Фид (легковые)'!C26&lt;&gt;"", "    &lt;folder_id&gt;" &amp; 'Фид (легковые)'!C26 &amp; "&lt;/folder_id&gt;", "") &amp; CHAR(10) &amp; IF('Фид (легковые)'!D26&lt;&gt;"", "    &lt;modification_id&gt;" &amp; 'Фид (легковые)'!D26 &amp; "&lt;/modification_id&gt;", "") &amp; CHAR(10) &amp; IF('Фид (легковые)'!E26&lt;&gt;"", "    &lt;body_type&gt;" &amp; 'Фид (легковые)'!E26 &amp; "&lt;/body_type&gt;", "") &amp; CHAR(10) &amp; IF('Фид (легковые)'!F26&lt;&gt;"", "    &lt;year&gt;" &amp; 'Фид (легковые)'!F26 &amp; "&lt;/year&gt;", "") &amp; CHAR(10) &amp; IF('Фид (легковые)'!G26&lt;&gt;"", "    &lt;color&gt;" &amp; 'Фид (легковые)'!G26 &amp; "&lt;/color&gt;", "") &amp; CHAR(10) &amp; IF('Фид (легковые)'!H26&lt;&gt;"", "    &lt;price&gt;" &amp; 'Фид (легковые)'!H26 &amp; "&lt;/price&gt;", "") &amp; CHAR(10) &amp; IF('Фид (легковые)'!I26&lt;&gt;"", "    &lt;currency&gt;" &amp; 'Фид (легковые)'!I26 &amp; "&lt;/currency&gt;", "") &amp; CHAR(10) &amp; IF('Фид (легковые)'!J26&lt;&gt;"", "    &lt;run&gt;" &amp; 'Фид (легковые)'!J26 &amp; "&lt;/run&gt;", "") &amp; CHAR(10) &amp; IF('Фид (легковые)'!K26&lt;&gt;"", "    &lt;vin&gt;" &amp; 'Фид (легковые)'!K26 &amp; "&lt;/vin&gt;", "") &amp; CHAR(10) &amp; IF('Фид (легковые)'!L26&lt;&gt;"", "    &lt;availability&gt;" &amp; 'Фид (легковые)'!L26 &amp; "&lt;/availability&gt;", "") &amp; CHAR(10) &amp; IF('Фид (легковые)'!M26&lt;&gt;"", "    &lt;custom&gt;" &amp; 'Фид (легковые)'!M26 &amp; "&lt;/custom&gt;", "") &amp; CHAR(10) &amp; IF('Фид (легковые)'!N26&lt;&gt;"", "    &lt;state&gt;" &amp; 'Фид (легковые)'!N26 &amp; "&lt;/state&gt;", "") &amp; CHAR(10) &amp; IF('Фид (легковые)'!O26&lt;&gt;"", "    &lt;owners_number&gt;" &amp; 'Фид (легковые)'!O26 &amp; "&lt;/owners_number&gt;", "") &amp; CHAR(10) &amp; IF('Фид (легковые)'!P26&lt;&gt;"", "    &lt;pts&gt;" &amp; 'Фид (легковые)'!P26 &amp; "&lt;/pts&gt;", "") &amp; CHAR(10) &amp; IF('Фид (легковые)'!Q26&lt;&gt;"", "    &lt;wheel&gt;" &amp; 'Фид (легковые)'!Q26 &amp; "&lt;/wheel&gt;", "") &amp; CHAR(10) &amp; IF('Фид (легковые)'!R26&lt;&gt;"", "    &lt;engine_type&gt;" &amp; 'Фид (легковые)'!R26 &amp; "&lt;/engine_type&gt;", "") &amp; CHAR(10) &amp; IF('Фид (легковые)'!S26&lt;&gt;"", "    &lt;drive&gt;" &amp; 'Фид (легковые)'!S26 &amp; "&lt;/drive&gt;", "") &amp; CHAR(10) &amp; IF('Фид (легковые)'!T26&lt;&gt;"", "    &lt;haggle&gt;" &amp; 'Фид (легковые)'!T26 &amp; "&lt;/haggle&gt;", "") &amp; CHAR(10) &amp; IF('Фид (легковые)'!U26&lt;&gt;"", "    &lt;exchange&gt;" &amp; 'Фид (легковые)'!U26 &amp; "&lt;/exchange&gt;", "") &amp; CHAR(10) &amp; IF('Фид (легковые)'!V26&lt;&gt;"", "    &lt;max_discount&gt;" &amp; 'Фид (легковые)'!V26 &amp; "&lt;/max_discount&gt;", "") &amp; CHAR(10) &amp; IF('Фид (легковые)'!W26&lt;&gt;"", "    &lt;description&gt;" &amp; SUBSTITUTE(SUBSTITUTE(SUBSTITUTE('Фид (легковые)'!W26,"&amp;","&amp;amp;"),"&lt;","&amp;lt;"),"&gt;","&amp;gt;") &amp; "&lt;/description&gt;", "") &amp; CHAR(10) &amp; IF('Фид (легковые)'!X26&lt;&gt;"", "    &lt;url&gt;" &amp; 'Фид (легковые)'!X26 &amp; "&lt;/url&gt;", "") &amp; CHAR(10) &amp; IF('Фид (легковые)'!Y26&lt;&gt;"", "    &lt;images&gt;&lt;image&gt;" &amp; SUBSTITUTE(SUBSTITUTE(SUBSTITUTE(SUBSTITUTE('Фид (легковые)'!Y26,"&amp;","&amp;amp;"),"&lt;","&amp;lt;"),"&gt;","&amp;gt;"),"|","&lt;/image&gt;&lt;image&gt;") &amp; "&lt;/image&gt;&lt;/images&gt;", "") &amp; CHAR(10) &amp; "  &lt;/car&gt;" &amp; CHAR(10), "")</f>
        <v/>
      </c>
    </row>
    <row r="27" ht="15.75" customHeight="1">
      <c r="C27" s="13" t="str">
        <f>IF('Фид (легковые)'!B27&lt;&gt;"", "  &lt;car&gt;" &amp; CHAR(10) &amp; IF('Фид (легковые)'!A27&lt;&gt;"", "    &lt;unique_id&gt;" &amp; 'Фид (легковые)'!A27 &amp; "&lt;/unique_id&gt;", "") &amp; CHAR(10) &amp; IF('Фид (легковые)'!B27&lt;&gt;"", "    &lt;mark_id&gt;" &amp; 'Фид (легковые)'!B27 &amp; "&lt;/mark_id&gt;", "") &amp; CHAR(10) &amp; IF('Фид (легковые)'!C27&lt;&gt;"", "    &lt;folder_id&gt;" &amp; 'Фид (легковые)'!C27 &amp; "&lt;/folder_id&gt;", "") &amp; CHAR(10) &amp; IF('Фид (легковые)'!D27&lt;&gt;"", "    &lt;modification_id&gt;" &amp; 'Фид (легковые)'!D27 &amp; "&lt;/modification_id&gt;", "") &amp; CHAR(10) &amp; IF('Фид (легковые)'!E27&lt;&gt;"", "    &lt;body_type&gt;" &amp; 'Фид (легковые)'!E27 &amp; "&lt;/body_type&gt;", "") &amp; CHAR(10) &amp; IF('Фид (легковые)'!F27&lt;&gt;"", "    &lt;year&gt;" &amp; 'Фид (легковые)'!F27 &amp; "&lt;/year&gt;", "") &amp; CHAR(10) &amp; IF('Фид (легковые)'!G27&lt;&gt;"", "    &lt;color&gt;" &amp; 'Фид (легковые)'!G27 &amp; "&lt;/color&gt;", "") &amp; CHAR(10) &amp; IF('Фид (легковые)'!H27&lt;&gt;"", "    &lt;price&gt;" &amp; 'Фид (легковые)'!H27 &amp; "&lt;/price&gt;", "") &amp; CHAR(10) &amp; IF('Фид (легковые)'!I27&lt;&gt;"", "    &lt;currency&gt;" &amp; 'Фид (легковые)'!I27 &amp; "&lt;/currency&gt;", "") &amp; CHAR(10) &amp; IF('Фид (легковые)'!J27&lt;&gt;"", "    &lt;run&gt;" &amp; 'Фид (легковые)'!J27 &amp; "&lt;/run&gt;", "") &amp; CHAR(10) &amp; IF('Фид (легковые)'!K27&lt;&gt;"", "    &lt;vin&gt;" &amp; 'Фид (легковые)'!K27 &amp; "&lt;/vin&gt;", "") &amp; CHAR(10) &amp; IF('Фид (легковые)'!L27&lt;&gt;"", "    &lt;availability&gt;" &amp; 'Фид (легковые)'!L27 &amp; "&lt;/availability&gt;", "") &amp; CHAR(10) &amp; IF('Фид (легковые)'!M27&lt;&gt;"", "    &lt;custom&gt;" &amp; 'Фид (легковые)'!M27 &amp; "&lt;/custom&gt;", "") &amp; CHAR(10) &amp; IF('Фид (легковые)'!N27&lt;&gt;"", "    &lt;state&gt;" &amp; 'Фид (легковые)'!N27 &amp; "&lt;/state&gt;", "") &amp; CHAR(10) &amp; IF('Фид (легковые)'!O27&lt;&gt;"", "    &lt;owners_number&gt;" &amp; 'Фид (легковые)'!O27 &amp; "&lt;/owners_number&gt;", "") &amp; CHAR(10) &amp; IF('Фид (легковые)'!P27&lt;&gt;"", "    &lt;pts&gt;" &amp; 'Фид (легковые)'!P27 &amp; "&lt;/pts&gt;", "") &amp; CHAR(10) &amp; IF('Фид (легковые)'!Q27&lt;&gt;"", "    &lt;wheel&gt;" &amp; 'Фид (легковые)'!Q27 &amp; "&lt;/wheel&gt;", "") &amp; CHAR(10) &amp; IF('Фид (легковые)'!R27&lt;&gt;"", "    &lt;engine_type&gt;" &amp; 'Фид (легковые)'!R27 &amp; "&lt;/engine_type&gt;", "") &amp; CHAR(10) &amp; IF('Фид (легковые)'!S27&lt;&gt;"", "    &lt;drive&gt;" &amp; 'Фид (легковые)'!S27 &amp; "&lt;/drive&gt;", "") &amp; CHAR(10) &amp; IF('Фид (легковые)'!T27&lt;&gt;"", "    &lt;haggle&gt;" &amp; 'Фид (легковые)'!T27 &amp; "&lt;/haggle&gt;", "") &amp; CHAR(10) &amp; IF('Фид (легковые)'!U27&lt;&gt;"", "    &lt;exchange&gt;" &amp; 'Фид (легковые)'!U27 &amp; "&lt;/exchange&gt;", "") &amp; CHAR(10) &amp; IF('Фид (легковые)'!V27&lt;&gt;"", "    &lt;max_discount&gt;" &amp; 'Фид (легковые)'!V27 &amp; "&lt;/max_discount&gt;", "") &amp; CHAR(10) &amp; IF('Фид (легковые)'!W27&lt;&gt;"", "    &lt;description&gt;" &amp; SUBSTITUTE(SUBSTITUTE(SUBSTITUTE('Фид (легковые)'!W27,"&amp;","&amp;amp;"),"&lt;","&amp;lt;"),"&gt;","&amp;gt;") &amp; "&lt;/description&gt;", "") &amp; CHAR(10) &amp; IF('Фид (легковые)'!X27&lt;&gt;"", "    &lt;url&gt;" &amp; 'Фид (легковые)'!X27 &amp; "&lt;/url&gt;", "") &amp; CHAR(10) &amp; IF('Фид (легковые)'!Y27&lt;&gt;"", "    &lt;images&gt;&lt;image&gt;" &amp; SUBSTITUTE(SUBSTITUTE(SUBSTITUTE(SUBSTITUTE('Фид (легковые)'!Y27,"&amp;","&amp;amp;"),"&lt;","&amp;lt;"),"&gt;","&amp;gt;"),"|","&lt;/image&gt;&lt;image&gt;") &amp; "&lt;/image&gt;&lt;/images&gt;", "") &amp; CHAR(10) &amp; "  &lt;/car&gt;" &amp; CHAR(10), "")</f>
        <v/>
      </c>
    </row>
    <row r="28" ht="15.75" customHeight="1">
      <c r="C28" s="13" t="str">
        <f>IF('Фид (легковые)'!B28&lt;&gt;"", "  &lt;car&gt;" &amp; CHAR(10) &amp; IF('Фид (легковые)'!A28&lt;&gt;"", "    &lt;unique_id&gt;" &amp; 'Фид (легковые)'!A28 &amp; "&lt;/unique_id&gt;", "") &amp; CHAR(10) &amp; IF('Фид (легковые)'!B28&lt;&gt;"", "    &lt;mark_id&gt;" &amp; 'Фид (легковые)'!B28 &amp; "&lt;/mark_id&gt;", "") &amp; CHAR(10) &amp; IF('Фид (легковые)'!C28&lt;&gt;"", "    &lt;folder_id&gt;" &amp; 'Фид (легковые)'!C28 &amp; "&lt;/folder_id&gt;", "") &amp; CHAR(10) &amp; IF('Фид (легковые)'!D28&lt;&gt;"", "    &lt;modification_id&gt;" &amp; 'Фид (легковые)'!D28 &amp; "&lt;/modification_id&gt;", "") &amp; CHAR(10) &amp; IF('Фид (легковые)'!E28&lt;&gt;"", "    &lt;body_type&gt;" &amp; 'Фид (легковые)'!E28 &amp; "&lt;/body_type&gt;", "") &amp; CHAR(10) &amp; IF('Фид (легковые)'!F28&lt;&gt;"", "    &lt;year&gt;" &amp; 'Фид (легковые)'!F28 &amp; "&lt;/year&gt;", "") &amp; CHAR(10) &amp; IF('Фид (легковые)'!G28&lt;&gt;"", "    &lt;color&gt;" &amp; 'Фид (легковые)'!G28 &amp; "&lt;/color&gt;", "") &amp; CHAR(10) &amp; IF('Фид (легковые)'!H28&lt;&gt;"", "    &lt;price&gt;" &amp; 'Фид (легковые)'!H28 &amp; "&lt;/price&gt;", "") &amp; CHAR(10) &amp; IF('Фид (легковые)'!I28&lt;&gt;"", "    &lt;currency&gt;" &amp; 'Фид (легковые)'!I28 &amp; "&lt;/currency&gt;", "") &amp; CHAR(10) &amp; IF('Фид (легковые)'!J28&lt;&gt;"", "    &lt;run&gt;" &amp; 'Фид (легковые)'!J28 &amp; "&lt;/run&gt;", "") &amp; CHAR(10) &amp; IF('Фид (легковые)'!K28&lt;&gt;"", "    &lt;vin&gt;" &amp; 'Фид (легковые)'!K28 &amp; "&lt;/vin&gt;", "") &amp; CHAR(10) &amp; IF('Фид (легковые)'!L28&lt;&gt;"", "    &lt;availability&gt;" &amp; 'Фид (легковые)'!L28 &amp; "&lt;/availability&gt;", "") &amp; CHAR(10) &amp; IF('Фид (легковые)'!M28&lt;&gt;"", "    &lt;custom&gt;" &amp; 'Фид (легковые)'!M28 &amp; "&lt;/custom&gt;", "") &amp; CHAR(10) &amp; IF('Фид (легковые)'!N28&lt;&gt;"", "    &lt;state&gt;" &amp; 'Фид (легковые)'!N28 &amp; "&lt;/state&gt;", "") &amp; CHAR(10) &amp; IF('Фид (легковые)'!O28&lt;&gt;"", "    &lt;owners_number&gt;" &amp; 'Фид (легковые)'!O28 &amp; "&lt;/owners_number&gt;", "") &amp; CHAR(10) &amp; IF('Фид (легковые)'!P28&lt;&gt;"", "    &lt;pts&gt;" &amp; 'Фид (легковые)'!P28 &amp; "&lt;/pts&gt;", "") &amp; CHAR(10) &amp; IF('Фид (легковые)'!Q28&lt;&gt;"", "    &lt;wheel&gt;" &amp; 'Фид (легковые)'!Q28 &amp; "&lt;/wheel&gt;", "") &amp; CHAR(10) &amp; IF('Фид (легковые)'!R28&lt;&gt;"", "    &lt;engine_type&gt;" &amp; 'Фид (легковые)'!R28 &amp; "&lt;/engine_type&gt;", "") &amp; CHAR(10) &amp; IF('Фид (легковые)'!S28&lt;&gt;"", "    &lt;drive&gt;" &amp; 'Фид (легковые)'!S28 &amp; "&lt;/drive&gt;", "") &amp; CHAR(10) &amp; IF('Фид (легковые)'!T28&lt;&gt;"", "    &lt;haggle&gt;" &amp; 'Фид (легковые)'!T28 &amp; "&lt;/haggle&gt;", "") &amp; CHAR(10) &amp; IF('Фид (легковые)'!U28&lt;&gt;"", "    &lt;exchange&gt;" &amp; 'Фид (легковые)'!U28 &amp; "&lt;/exchange&gt;", "") &amp; CHAR(10) &amp; IF('Фид (легковые)'!V28&lt;&gt;"", "    &lt;max_discount&gt;" &amp; 'Фид (легковые)'!V28 &amp; "&lt;/max_discount&gt;", "") &amp; CHAR(10) &amp; IF('Фид (легковые)'!W28&lt;&gt;"", "    &lt;description&gt;" &amp; SUBSTITUTE(SUBSTITUTE(SUBSTITUTE('Фид (легковые)'!W28,"&amp;","&amp;amp;"),"&lt;","&amp;lt;"),"&gt;","&amp;gt;") &amp; "&lt;/description&gt;", "") &amp; CHAR(10) &amp; IF('Фид (легковые)'!X28&lt;&gt;"", "    &lt;url&gt;" &amp; 'Фид (легковые)'!X28 &amp; "&lt;/url&gt;", "") &amp; CHAR(10) &amp; IF('Фид (легковые)'!Y28&lt;&gt;"", "    &lt;images&gt;&lt;image&gt;" &amp; SUBSTITUTE(SUBSTITUTE(SUBSTITUTE(SUBSTITUTE('Фид (легковые)'!Y28,"&amp;","&amp;amp;"),"&lt;","&amp;lt;"),"&gt;","&amp;gt;"),"|","&lt;/image&gt;&lt;image&gt;") &amp; "&lt;/image&gt;&lt;/images&gt;", "") &amp; CHAR(10) &amp; "  &lt;/car&gt;" &amp; CHAR(10), "")</f>
        <v/>
      </c>
    </row>
    <row r="29" ht="15.75" customHeight="1">
      <c r="C29" s="13" t="str">
        <f>IF('Фид (легковые)'!B29&lt;&gt;"", "  &lt;car&gt;" &amp; CHAR(10) &amp; IF('Фид (легковые)'!A29&lt;&gt;"", "    &lt;unique_id&gt;" &amp; 'Фид (легковые)'!A29 &amp; "&lt;/unique_id&gt;", "") &amp; CHAR(10) &amp; IF('Фид (легковые)'!B29&lt;&gt;"", "    &lt;mark_id&gt;" &amp; 'Фид (легковые)'!B29 &amp; "&lt;/mark_id&gt;", "") &amp; CHAR(10) &amp; IF('Фид (легковые)'!C29&lt;&gt;"", "    &lt;folder_id&gt;" &amp; 'Фид (легковые)'!C29 &amp; "&lt;/folder_id&gt;", "") &amp; CHAR(10) &amp; IF('Фид (легковые)'!D29&lt;&gt;"", "    &lt;modification_id&gt;" &amp; 'Фид (легковые)'!D29 &amp; "&lt;/modification_id&gt;", "") &amp; CHAR(10) &amp; IF('Фид (легковые)'!E29&lt;&gt;"", "    &lt;body_type&gt;" &amp; 'Фид (легковые)'!E29 &amp; "&lt;/body_type&gt;", "") &amp; CHAR(10) &amp; IF('Фид (легковые)'!F29&lt;&gt;"", "    &lt;year&gt;" &amp; 'Фид (легковые)'!F29 &amp; "&lt;/year&gt;", "") &amp; CHAR(10) &amp; IF('Фид (легковые)'!G29&lt;&gt;"", "    &lt;color&gt;" &amp; 'Фид (легковые)'!G29 &amp; "&lt;/color&gt;", "") &amp; CHAR(10) &amp; IF('Фид (легковые)'!H29&lt;&gt;"", "    &lt;price&gt;" &amp; 'Фид (легковые)'!H29 &amp; "&lt;/price&gt;", "") &amp; CHAR(10) &amp; IF('Фид (легковые)'!I29&lt;&gt;"", "    &lt;currency&gt;" &amp; 'Фид (легковые)'!I29 &amp; "&lt;/currency&gt;", "") &amp; CHAR(10) &amp; IF('Фид (легковые)'!J29&lt;&gt;"", "    &lt;run&gt;" &amp; 'Фид (легковые)'!J29 &amp; "&lt;/run&gt;", "") &amp; CHAR(10) &amp; IF('Фид (легковые)'!K29&lt;&gt;"", "    &lt;vin&gt;" &amp; 'Фид (легковые)'!K29 &amp; "&lt;/vin&gt;", "") &amp; CHAR(10) &amp; IF('Фид (легковые)'!L29&lt;&gt;"", "    &lt;availability&gt;" &amp; 'Фид (легковые)'!L29 &amp; "&lt;/availability&gt;", "") &amp; CHAR(10) &amp; IF('Фид (легковые)'!M29&lt;&gt;"", "    &lt;custom&gt;" &amp; 'Фид (легковые)'!M29 &amp; "&lt;/custom&gt;", "") &amp; CHAR(10) &amp; IF('Фид (легковые)'!N29&lt;&gt;"", "    &lt;state&gt;" &amp; 'Фид (легковые)'!N29 &amp; "&lt;/state&gt;", "") &amp; CHAR(10) &amp; IF('Фид (легковые)'!O29&lt;&gt;"", "    &lt;owners_number&gt;" &amp; 'Фид (легковые)'!O29 &amp; "&lt;/owners_number&gt;", "") &amp; CHAR(10) &amp; IF('Фид (легковые)'!P29&lt;&gt;"", "    &lt;pts&gt;" &amp; 'Фид (легковые)'!P29 &amp; "&lt;/pts&gt;", "") &amp; CHAR(10) &amp; IF('Фид (легковые)'!Q29&lt;&gt;"", "    &lt;wheel&gt;" &amp; 'Фид (легковые)'!Q29 &amp; "&lt;/wheel&gt;", "") &amp; CHAR(10) &amp; IF('Фид (легковые)'!R29&lt;&gt;"", "    &lt;engine_type&gt;" &amp; 'Фид (легковые)'!R29 &amp; "&lt;/engine_type&gt;", "") &amp; CHAR(10) &amp; IF('Фид (легковые)'!S29&lt;&gt;"", "    &lt;drive&gt;" &amp; 'Фид (легковые)'!S29 &amp; "&lt;/drive&gt;", "") &amp; CHAR(10) &amp; IF('Фид (легковые)'!T29&lt;&gt;"", "    &lt;haggle&gt;" &amp; 'Фид (легковые)'!T29 &amp; "&lt;/haggle&gt;", "") &amp; CHAR(10) &amp; IF('Фид (легковые)'!U29&lt;&gt;"", "    &lt;exchange&gt;" &amp; 'Фид (легковые)'!U29 &amp; "&lt;/exchange&gt;", "") &amp; CHAR(10) &amp; IF('Фид (легковые)'!V29&lt;&gt;"", "    &lt;max_discount&gt;" &amp; 'Фид (легковые)'!V29 &amp; "&lt;/max_discount&gt;", "") &amp; CHAR(10) &amp; IF('Фид (легковые)'!W29&lt;&gt;"", "    &lt;description&gt;" &amp; SUBSTITUTE(SUBSTITUTE(SUBSTITUTE('Фид (легковые)'!W29,"&amp;","&amp;amp;"),"&lt;","&amp;lt;"),"&gt;","&amp;gt;") &amp; "&lt;/description&gt;", "") &amp; CHAR(10) &amp; IF('Фид (легковые)'!X29&lt;&gt;"", "    &lt;url&gt;" &amp; 'Фид (легковые)'!X29 &amp; "&lt;/url&gt;", "") &amp; CHAR(10) &amp; IF('Фид (легковые)'!Y29&lt;&gt;"", "    &lt;images&gt;&lt;image&gt;" &amp; SUBSTITUTE(SUBSTITUTE(SUBSTITUTE(SUBSTITUTE('Фид (легковые)'!Y29,"&amp;","&amp;amp;"),"&lt;","&amp;lt;"),"&gt;","&amp;gt;"),"|","&lt;/image&gt;&lt;image&gt;") &amp; "&lt;/image&gt;&lt;/images&gt;", "") &amp; CHAR(10) &amp; "  &lt;/car&gt;" &amp; CHAR(10), "")</f>
        <v/>
      </c>
    </row>
    <row r="30" ht="15.75" customHeight="1">
      <c r="C30" s="13" t="str">
        <f>IF('Фид (легковые)'!B30&lt;&gt;"", "  &lt;car&gt;" &amp; CHAR(10) &amp; IF('Фид (легковые)'!A30&lt;&gt;"", "    &lt;unique_id&gt;" &amp; 'Фид (легковые)'!A30 &amp; "&lt;/unique_id&gt;", "") &amp; CHAR(10) &amp; IF('Фид (легковые)'!B30&lt;&gt;"", "    &lt;mark_id&gt;" &amp; 'Фид (легковые)'!B30 &amp; "&lt;/mark_id&gt;", "") &amp; CHAR(10) &amp; IF('Фид (легковые)'!C30&lt;&gt;"", "    &lt;folder_id&gt;" &amp; 'Фид (легковые)'!C30 &amp; "&lt;/folder_id&gt;", "") &amp; CHAR(10) &amp; IF('Фид (легковые)'!D30&lt;&gt;"", "    &lt;modification_id&gt;" &amp; 'Фид (легковые)'!D30 &amp; "&lt;/modification_id&gt;", "") &amp; CHAR(10) &amp; IF('Фид (легковые)'!E30&lt;&gt;"", "    &lt;body_type&gt;" &amp; 'Фид (легковые)'!E30 &amp; "&lt;/body_type&gt;", "") &amp; CHAR(10) &amp; IF('Фид (легковые)'!F30&lt;&gt;"", "    &lt;year&gt;" &amp; 'Фид (легковые)'!F30 &amp; "&lt;/year&gt;", "") &amp; CHAR(10) &amp; IF('Фид (легковые)'!G30&lt;&gt;"", "    &lt;color&gt;" &amp; 'Фид (легковые)'!G30 &amp; "&lt;/color&gt;", "") &amp; CHAR(10) &amp; IF('Фид (легковые)'!H30&lt;&gt;"", "    &lt;price&gt;" &amp; 'Фид (легковые)'!H30 &amp; "&lt;/price&gt;", "") &amp; CHAR(10) &amp; IF('Фид (легковые)'!I30&lt;&gt;"", "    &lt;currency&gt;" &amp; 'Фид (легковые)'!I30 &amp; "&lt;/currency&gt;", "") &amp; CHAR(10) &amp; IF('Фид (легковые)'!J30&lt;&gt;"", "    &lt;run&gt;" &amp; 'Фид (легковые)'!J30 &amp; "&lt;/run&gt;", "") &amp; CHAR(10) &amp; IF('Фид (легковые)'!K30&lt;&gt;"", "    &lt;vin&gt;" &amp; 'Фид (легковые)'!K30 &amp; "&lt;/vin&gt;", "") &amp; CHAR(10) &amp; IF('Фид (легковые)'!L30&lt;&gt;"", "    &lt;availability&gt;" &amp; 'Фид (легковые)'!L30 &amp; "&lt;/availability&gt;", "") &amp; CHAR(10) &amp; IF('Фид (легковые)'!M30&lt;&gt;"", "    &lt;custom&gt;" &amp; 'Фид (легковые)'!M30 &amp; "&lt;/custom&gt;", "") &amp; CHAR(10) &amp; IF('Фид (легковые)'!N30&lt;&gt;"", "    &lt;state&gt;" &amp; 'Фид (легковые)'!N30 &amp; "&lt;/state&gt;", "") &amp; CHAR(10) &amp; IF('Фид (легковые)'!O30&lt;&gt;"", "    &lt;owners_number&gt;" &amp; 'Фид (легковые)'!O30 &amp; "&lt;/owners_number&gt;", "") &amp; CHAR(10) &amp; IF('Фид (легковые)'!P30&lt;&gt;"", "    &lt;pts&gt;" &amp; 'Фид (легковые)'!P30 &amp; "&lt;/pts&gt;", "") &amp; CHAR(10) &amp; IF('Фид (легковые)'!Q30&lt;&gt;"", "    &lt;wheel&gt;" &amp; 'Фид (легковые)'!Q30 &amp; "&lt;/wheel&gt;", "") &amp; CHAR(10) &amp; IF('Фид (легковые)'!R30&lt;&gt;"", "    &lt;engine_type&gt;" &amp; 'Фид (легковые)'!R30 &amp; "&lt;/engine_type&gt;", "") &amp; CHAR(10) &amp; IF('Фид (легковые)'!S30&lt;&gt;"", "    &lt;drive&gt;" &amp; 'Фид (легковые)'!S30 &amp; "&lt;/drive&gt;", "") &amp; CHAR(10) &amp; IF('Фид (легковые)'!T30&lt;&gt;"", "    &lt;haggle&gt;" &amp; 'Фид (легковые)'!T30 &amp; "&lt;/haggle&gt;", "") &amp; CHAR(10) &amp; IF('Фид (легковые)'!U30&lt;&gt;"", "    &lt;exchange&gt;" &amp; 'Фид (легковые)'!U30 &amp; "&lt;/exchange&gt;", "") &amp; CHAR(10) &amp; IF('Фид (легковые)'!V30&lt;&gt;"", "    &lt;max_discount&gt;" &amp; 'Фид (легковые)'!V30 &amp; "&lt;/max_discount&gt;", "") &amp; CHAR(10) &amp; IF('Фид (легковые)'!W30&lt;&gt;"", "    &lt;description&gt;" &amp; SUBSTITUTE(SUBSTITUTE(SUBSTITUTE('Фид (легковые)'!W30,"&amp;","&amp;amp;"),"&lt;","&amp;lt;"),"&gt;","&amp;gt;") &amp; "&lt;/description&gt;", "") &amp; CHAR(10) &amp; IF('Фид (легковые)'!X30&lt;&gt;"", "    &lt;url&gt;" &amp; 'Фид (легковые)'!X30 &amp; "&lt;/url&gt;", "") &amp; CHAR(10) &amp; IF('Фид (легковые)'!Y30&lt;&gt;"", "    &lt;images&gt;&lt;image&gt;" &amp; SUBSTITUTE(SUBSTITUTE(SUBSTITUTE(SUBSTITUTE('Фид (легковые)'!Y30,"&amp;","&amp;amp;"),"&lt;","&amp;lt;"),"&gt;","&amp;gt;"),"|","&lt;/image&gt;&lt;image&gt;") &amp; "&lt;/image&gt;&lt;/images&gt;", "") &amp; CHAR(10) &amp; "  &lt;/car&gt;" &amp; CHAR(10), "")</f>
        <v/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